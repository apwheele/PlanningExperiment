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OneDriveGSU\OneDrive - Georgia State University\Desktop\"/>
    </mc:Choice>
  </mc:AlternateContent>
  <xr:revisionPtr revIDLastSave="0" documentId="13_ncr:1_{2395EB17-9161-4339-AE87-22854623A8B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ta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Q7" i="1"/>
  <c r="Q15" i="1"/>
  <c r="O3" i="1"/>
  <c r="Q3" i="1" s="1"/>
  <c r="O4" i="1"/>
  <c r="Q4" i="1" s="1"/>
  <c r="O5" i="1"/>
  <c r="Q5" i="1" s="1"/>
  <c r="O6" i="1"/>
  <c r="Q6" i="1" s="1"/>
  <c r="O7" i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O2" i="1"/>
  <c r="Q2" i="1" s="1"/>
  <c r="E2" i="1"/>
  <c r="E3" i="1" s="1"/>
  <c r="F2" i="1"/>
  <c r="U2" i="1" s="1"/>
  <c r="W2" i="1" l="1"/>
  <c r="Z2" i="1" s="1"/>
  <c r="V3" i="1"/>
  <c r="V2" i="1"/>
  <c r="X2" i="1" s="1"/>
  <c r="AA2" i="1" s="1"/>
  <c r="H2" i="1"/>
  <c r="R2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G2" i="1"/>
  <c r="P2" i="1" s="1"/>
  <c r="E4" i="1"/>
  <c r="V4" i="1" l="1"/>
  <c r="U4" i="1"/>
  <c r="Y2" i="1"/>
  <c r="AB2" i="1" s="1"/>
  <c r="U3" i="1"/>
  <c r="R4" i="1"/>
  <c r="R3" i="1"/>
  <c r="G3" i="1"/>
  <c r="P3" i="1" s="1"/>
  <c r="I2" i="1"/>
  <c r="J2" i="1"/>
  <c r="H4" i="1"/>
  <c r="H3" i="1"/>
  <c r="I3" i="1" s="1"/>
  <c r="E5" i="1"/>
  <c r="G4" i="1"/>
  <c r="P4" i="1" s="1"/>
  <c r="R5" i="1" l="1"/>
  <c r="U5" i="1"/>
  <c r="V5" i="1"/>
  <c r="X3" i="1"/>
  <c r="AA3" i="1" s="1"/>
  <c r="Y3" i="1"/>
  <c r="AB3" i="1" s="1"/>
  <c r="W3" i="1"/>
  <c r="Z3" i="1" s="1"/>
  <c r="W4" i="1"/>
  <c r="Z4" i="1" s="1"/>
  <c r="X4" i="1"/>
  <c r="AA4" i="1" s="1"/>
  <c r="Y4" i="1"/>
  <c r="AB4" i="1" s="1"/>
  <c r="H5" i="1"/>
  <c r="J3" i="1"/>
  <c r="J4" i="1"/>
  <c r="I4" i="1"/>
  <c r="E6" i="1"/>
  <c r="G5" i="1"/>
  <c r="P5" i="1" s="1"/>
  <c r="R6" i="1" l="1"/>
  <c r="V6" i="1"/>
  <c r="U6" i="1"/>
  <c r="Y5" i="1"/>
  <c r="AB5" i="1" s="1"/>
  <c r="W5" i="1"/>
  <c r="Z5" i="1" s="1"/>
  <c r="X5" i="1"/>
  <c r="AA5" i="1" s="1"/>
  <c r="H6" i="1"/>
  <c r="J5" i="1"/>
  <c r="I5" i="1"/>
  <c r="E7" i="1"/>
  <c r="G6" i="1"/>
  <c r="P6" i="1" s="1"/>
  <c r="R7" i="1" l="1"/>
  <c r="V7" i="1"/>
  <c r="U7" i="1"/>
  <c r="X6" i="1"/>
  <c r="AA6" i="1" s="1"/>
  <c r="Y6" i="1"/>
  <c r="AB6" i="1" s="1"/>
  <c r="W6" i="1"/>
  <c r="Z6" i="1" s="1"/>
  <c r="H7" i="1"/>
  <c r="J6" i="1"/>
  <c r="I6" i="1"/>
  <c r="E8" i="1"/>
  <c r="G7" i="1"/>
  <c r="P7" i="1" s="1"/>
  <c r="X7" i="1" l="1"/>
  <c r="AA7" i="1" s="1"/>
  <c r="Y7" i="1"/>
  <c r="AB7" i="1" s="1"/>
  <c r="W7" i="1"/>
  <c r="Z7" i="1" s="1"/>
  <c r="R8" i="1"/>
  <c r="V8" i="1"/>
  <c r="U8" i="1"/>
  <c r="H8" i="1"/>
  <c r="I7" i="1"/>
  <c r="J7" i="1"/>
  <c r="E9" i="1"/>
  <c r="G8" i="1"/>
  <c r="P8" i="1" s="1"/>
  <c r="R9" i="1" l="1"/>
  <c r="U9" i="1"/>
  <c r="V9" i="1"/>
  <c r="W8" i="1"/>
  <c r="Z8" i="1" s="1"/>
  <c r="Y8" i="1"/>
  <c r="AB8" i="1" s="1"/>
  <c r="X8" i="1"/>
  <c r="AA8" i="1" s="1"/>
  <c r="H9" i="1"/>
  <c r="I8" i="1"/>
  <c r="J8" i="1"/>
  <c r="E10" i="1"/>
  <c r="G9" i="1"/>
  <c r="P9" i="1" s="1"/>
  <c r="R10" i="1" l="1"/>
  <c r="U10" i="1"/>
  <c r="V10" i="1"/>
  <c r="Y9" i="1"/>
  <c r="AB9" i="1" s="1"/>
  <c r="W9" i="1"/>
  <c r="Z9" i="1" s="1"/>
  <c r="X9" i="1"/>
  <c r="AA9" i="1" s="1"/>
  <c r="H10" i="1"/>
  <c r="J9" i="1"/>
  <c r="I9" i="1"/>
  <c r="E11" i="1"/>
  <c r="G10" i="1"/>
  <c r="P10" i="1" s="1"/>
  <c r="X10" i="1" l="1"/>
  <c r="AA10" i="1" s="1"/>
  <c r="Y10" i="1"/>
  <c r="AB10" i="1" s="1"/>
  <c r="W10" i="1"/>
  <c r="Z10" i="1" s="1"/>
  <c r="R11" i="1"/>
  <c r="V11" i="1"/>
  <c r="U11" i="1"/>
  <c r="H11" i="1"/>
  <c r="I10" i="1"/>
  <c r="J10" i="1"/>
  <c r="E12" i="1"/>
  <c r="G11" i="1"/>
  <c r="P11" i="1" s="1"/>
  <c r="R12" i="1" l="1"/>
  <c r="U12" i="1"/>
  <c r="V12" i="1"/>
  <c r="X11" i="1"/>
  <c r="AA11" i="1" s="1"/>
  <c r="Y11" i="1"/>
  <c r="AB11" i="1" s="1"/>
  <c r="W11" i="1"/>
  <c r="Z11" i="1" s="1"/>
  <c r="H12" i="1"/>
  <c r="I11" i="1"/>
  <c r="J11" i="1"/>
  <c r="E13" i="1"/>
  <c r="G12" i="1"/>
  <c r="P12" i="1" s="1"/>
  <c r="R13" i="1" l="1"/>
  <c r="U13" i="1"/>
  <c r="V13" i="1"/>
  <c r="Y12" i="1"/>
  <c r="AB12" i="1" s="1"/>
  <c r="X12" i="1"/>
  <c r="AA12" i="1" s="1"/>
  <c r="W12" i="1"/>
  <c r="Z12" i="1" s="1"/>
  <c r="H13" i="1"/>
  <c r="I12" i="1"/>
  <c r="J12" i="1"/>
  <c r="E14" i="1"/>
  <c r="G13" i="1"/>
  <c r="P13" i="1" s="1"/>
  <c r="R14" i="1" l="1"/>
  <c r="V14" i="1"/>
  <c r="U14" i="1"/>
  <c r="Y13" i="1"/>
  <c r="AB13" i="1" s="1"/>
  <c r="W13" i="1"/>
  <c r="Z13" i="1" s="1"/>
  <c r="X13" i="1"/>
  <c r="AA13" i="1" s="1"/>
  <c r="H14" i="1"/>
  <c r="J13" i="1"/>
  <c r="I13" i="1"/>
  <c r="E15" i="1"/>
  <c r="G14" i="1"/>
  <c r="P14" i="1" s="1"/>
  <c r="X14" i="1" l="1"/>
  <c r="AA14" i="1" s="1"/>
  <c r="Y14" i="1"/>
  <c r="AB14" i="1" s="1"/>
  <c r="W14" i="1"/>
  <c r="Z14" i="1" s="1"/>
  <c r="R15" i="1"/>
  <c r="V15" i="1"/>
  <c r="U15" i="1"/>
  <c r="J14" i="1"/>
  <c r="I14" i="1"/>
  <c r="G15" i="1"/>
  <c r="H15" i="1"/>
  <c r="P15" i="1" l="1"/>
  <c r="X15" i="1"/>
  <c r="AA15" i="1" s="1"/>
  <c r="Y15" i="1"/>
  <c r="AB15" i="1" s="1"/>
  <c r="W15" i="1"/>
  <c r="Z15" i="1" s="1"/>
  <c r="I15" i="1"/>
  <c r="M2" i="1" s="1"/>
  <c r="J15" i="1"/>
</calcChain>
</file>

<file path=xl/sharedStrings.xml><?xml version="1.0" encoding="utf-8"?>
<sst xmlns="http://schemas.openxmlformats.org/spreadsheetml/2006/main" count="51" uniqueCount="51">
  <si>
    <t>ComparisonArea</t>
  </si>
  <si>
    <t>Month</t>
  </si>
  <si>
    <t>FocusArea</t>
  </si>
  <si>
    <t>SE</t>
  </si>
  <si>
    <t>LowCI</t>
  </si>
  <si>
    <t>HighCI</t>
  </si>
  <si>
    <t>Andrew Wheeler</t>
  </si>
  <si>
    <t>Contact</t>
  </si>
  <si>
    <t>Author</t>
  </si>
  <si>
    <t>andrew.wheeler@crimede-coder.com</t>
  </si>
  <si>
    <t>Website</t>
  </si>
  <si>
    <t>https://crimede-coder.com/</t>
  </si>
  <si>
    <t>References of interest</t>
  </si>
  <si>
    <t>WDD Test</t>
  </si>
  <si>
    <t>WDD Test with different time periods</t>
  </si>
  <si>
    <t>Notes</t>
  </si>
  <si>
    <t>This is simulated data, to create the values, I did in R:</t>
  </si>
  <si>
    <t>set.seed(10)</t>
  </si>
  <si>
    <t>CumFocus</t>
  </si>
  <si>
    <t>CumCompar</t>
  </si>
  <si>
    <t>CumDif</t>
  </si>
  <si>
    <t>These you fill in with data</t>
  </si>
  <si>
    <t>These are calculated cumulative totals</t>
  </si>
  <si>
    <t>These are normalized metrics per month</t>
  </si>
  <si>
    <t>CumPerMonth</t>
  </si>
  <si>
    <t>SE_PerMonth</t>
  </si>
  <si>
    <t>Graph us cumulative area, with higher CI on top and low CI on bottom. Then has CumDifference as a second chart type.</t>
  </si>
  <si>
    <t>Horizontal0</t>
  </si>
  <si>
    <t>NumberMonths</t>
  </si>
  <si>
    <t>InvSq</t>
  </si>
  <si>
    <t>Title</t>
  </si>
  <si>
    <t>n &lt;- 14</t>
  </si>
  <si>
    <t>base_rate &lt;- 30</t>
  </si>
  <si>
    <t>reduction &lt;- 0.15</t>
  </si>
  <si>
    <t>t &lt;- rpois(n,base_rate*(1-reduction))</t>
  </si>
  <si>
    <t>c &lt;- rpois(n,base_rate)</t>
  </si>
  <si>
    <t>https://andrewpwheeler.com/2021/01/09/the-wdd-test-with-different-pre-post-time-periods/</t>
  </si>
  <si>
    <t>https://crimesciencejournal.biomedcentral.com/articles/10.1186/s40163-018-0085-5</t>
  </si>
  <si>
    <t>If you really want a percent reduction, here it is</t>
  </si>
  <si>
    <t>based on Wilson's IRR estimator</t>
  </si>
  <si>
    <t>WDD vs Wilson's IRR estimator</t>
  </si>
  <si>
    <t>LogIRR</t>
  </si>
  <si>
    <t>SE_LogIRR</t>
  </si>
  <si>
    <t>IRR</t>
  </si>
  <si>
    <t>CI_LowIRR</t>
  </si>
  <si>
    <t>CI_HighIRR</t>
  </si>
  <si>
    <t>Percent</t>
  </si>
  <si>
    <t>PercentLow</t>
  </si>
  <si>
    <t>PercentHigh</t>
  </si>
  <si>
    <t>A negative percent means it increased</t>
  </si>
  <si>
    <t>AdjustLow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</si>
</sst>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2" fillId="0" borderId="0" xfId="1"/>
    <xf numFmtId="1" fontId="0" fillId="0" borderId="0" xfId="0" applyNumberFormat="1"/>
    <xf numFmtId="0" fontId="1" fillId="0" borderId="0" xfId="0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Data!$M$2</c:f>
          <c:strCache>
            <c:ptCount val="1"/>
            <c:pt idx="0">
              <c:v>Total effect over time, -71 CI: -126 to -16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Data!$J$1</c:f>
              <c:strCache>
                <c:ptCount val="1"/>
                <c:pt idx="0">
                  <c:v>HighCI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Data!$J$2:$J$15</c:f>
              <c:numCache>
                <c:formatCode>0</c:formatCode>
                <c:ptCount val="14"/>
                <c:pt idx="0">
                  <c:v>15</c:v>
                </c:pt>
                <c:pt idx="1">
                  <c:v>12.591260281974002</c:v>
                </c:pt>
                <c:pt idx="2">
                  <c:v>-3.4657093303925919</c:v>
                </c:pt>
                <c:pt idx="3">
                  <c:v>-7.6742434027696405</c:v>
                </c:pt>
                <c:pt idx="4">
                  <c:v>-2.3197307232636177</c:v>
                </c:pt>
                <c:pt idx="5">
                  <c:v>-6.6729565346886091</c:v>
                </c:pt>
                <c:pt idx="6">
                  <c:v>-8.7900536509144018</c:v>
                </c:pt>
                <c:pt idx="7">
                  <c:v>-17.963430942633615</c:v>
                </c:pt>
                <c:pt idx="8">
                  <c:v>-21.728112757642691</c:v>
                </c:pt>
                <c:pt idx="9">
                  <c:v>-19.181200357121497</c:v>
                </c:pt>
                <c:pt idx="10">
                  <c:v>-23.887883368765301</c:v>
                </c:pt>
                <c:pt idx="11">
                  <c:v>-20.541278678925572</c:v>
                </c:pt>
                <c:pt idx="12">
                  <c:v>-19.297113671609793</c:v>
                </c:pt>
                <c:pt idx="13">
                  <c:v>-15.538301504551811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7-4226-91ED-170590313FFB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LowCI</c:v>
                </c:pt>
              </c:strCache>
            </c:strRef>
          </c:tx>
          <c:spPr>
            <a:solidFill>
              <a:schemeClr val="bg1">
                <a:lumMod val="50000"/>
                <a:alpha val="50000"/>
              </a:schemeClr>
            </a:solidFill>
            <a:ln w="25400">
              <a:noFill/>
            </a:ln>
            <a:effectLst/>
          </c:spPr>
          <c:cat>
            <c:numRef>
              <c:f>Data!$A$2:$A$15</c:f>
              <c:numCache>
                <c:formatCode>[$-409]mmm\-yy;@</c:formatCode>
                <c:ptCount val="1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</c:numCache>
            </c:numRef>
          </c:cat>
          <c:val>
            <c:numRef>
              <c:f>Data!$L$2:$L$15</c:f>
              <c:numCache>
                <c:formatCode>0</c:formatCode>
                <c:ptCount val="14"/>
                <c:pt idx="0">
                  <c:v>-28</c:v>
                </c:pt>
                <c:pt idx="1">
                  <c:v>-41.182520563948003</c:v>
                </c:pt>
                <c:pt idx="2">
                  <c:v>-51.068581339214816</c:v>
                </c:pt>
                <c:pt idx="3">
                  <c:v>-58.651513194460726</c:v>
                </c:pt>
                <c:pt idx="4">
                  <c:v>-65.360538553472765</c:v>
                </c:pt>
                <c:pt idx="5">
                  <c:v>-70.654086930622782</c:v>
                </c:pt>
                <c:pt idx="6">
                  <c:v>-76.419892698171196</c:v>
                </c:pt>
                <c:pt idx="7">
                  <c:v>-82.073138114732785</c:v>
                </c:pt>
                <c:pt idx="8">
                  <c:v>-88.543774484714618</c:v>
                </c:pt>
                <c:pt idx="9">
                  <c:v>-93.637599285757005</c:v>
                </c:pt>
                <c:pt idx="10">
                  <c:v>-98.224233262469397</c:v>
                </c:pt>
                <c:pt idx="11">
                  <c:v>-102.91744264214884</c:v>
                </c:pt>
                <c:pt idx="12">
                  <c:v>-107.40577265678041</c:v>
                </c:pt>
                <c:pt idx="13">
                  <c:v>-110.92339699089638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7-4226-91ED-170590313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147568"/>
        <c:axId val="1728148048"/>
      </c:areaChart>
      <c:lineChart>
        <c:grouping val="standard"/>
        <c:varyColors val="0"/>
        <c:ser>
          <c:idx val="2"/>
          <c:order val="2"/>
          <c:tx>
            <c:strRef>
              <c:f>Data!$G$1</c:f>
              <c:strCache>
                <c:ptCount val="1"/>
                <c:pt idx="0">
                  <c:v>CumDif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bg1"/>
                </a:solidFill>
              </a:ln>
              <a:effectLst/>
            </c:spPr>
          </c:marker>
          <c:val>
            <c:numRef>
              <c:f>Data!$G$2:$G$15</c:f>
              <c:numCache>
                <c:formatCode>General</c:formatCode>
                <c:ptCount val="14"/>
                <c:pt idx="0">
                  <c:v>1</c:v>
                </c:pt>
                <c:pt idx="1">
                  <c:v>-8</c:v>
                </c:pt>
                <c:pt idx="2">
                  <c:v>-29</c:v>
                </c:pt>
                <c:pt idx="3">
                  <c:v>-37</c:v>
                </c:pt>
                <c:pt idx="4">
                  <c:v>-35</c:v>
                </c:pt>
                <c:pt idx="5">
                  <c:v>-42</c:v>
                </c:pt>
                <c:pt idx="6">
                  <c:v>-47</c:v>
                </c:pt>
                <c:pt idx="7">
                  <c:v>-59</c:v>
                </c:pt>
                <c:pt idx="8">
                  <c:v>-66</c:v>
                </c:pt>
                <c:pt idx="9">
                  <c:v>-66</c:v>
                </c:pt>
                <c:pt idx="10">
                  <c:v>-73</c:v>
                </c:pt>
                <c:pt idx="11">
                  <c:v>-72</c:v>
                </c:pt>
                <c:pt idx="12">
                  <c:v>-73</c:v>
                </c:pt>
                <c:pt idx="13">
                  <c:v>-71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7-4226-91ED-170590313FFB}"/>
            </c:ext>
          </c:extLst>
        </c:ser>
        <c:ser>
          <c:idx val="3"/>
          <c:order val="3"/>
          <c:tx>
            <c:v>HorizotalRule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Data!$K$2:$K$15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67-4226-91ED-170590313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147568"/>
        <c:axId val="1728148048"/>
      </c:lineChart>
      <c:catAx>
        <c:axId val="172814756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728148048"/>
        <c:crossesAt val="-200"/>
        <c:auto val="1"/>
        <c:lblAlgn val="ctr"/>
        <c:lblOffset val="100"/>
        <c:noMultiLvlLbl val="0"/>
      </c:catAx>
      <c:valAx>
        <c:axId val="17281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92000"/>
                </a:schemeClr>
              </a:solidFill>
              <a:prstDash val="dash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72814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1600">
                <a:latin typeface="Verdana" panose="020B0604030504040204" pitchFamily="34" charset="0"/>
                <a:ea typeface="Verdana" panose="020B0604030504040204" pitchFamily="34" charset="0"/>
              </a:rPr>
              <a:t>Showing Total Counts, Not Clear Cumulative</a:t>
            </a:r>
            <a:r>
              <a:rPr lang="en-US" sz="1600" baseline="0">
                <a:latin typeface="Verdana" panose="020B0604030504040204" pitchFamily="34" charset="0"/>
                <a:ea typeface="Verdana" panose="020B0604030504040204" pitchFamily="34" charset="0"/>
              </a:rPr>
              <a:t> Effect</a:t>
            </a:r>
            <a:endParaRPr lang="en-US" sz="16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FocusArea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Data!$A$2:$A$15</c:f>
              <c:numCache>
                <c:formatCode>[$-409]mmm\-yy;@</c:formatCode>
                <c:ptCount val="1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</c:numCache>
            </c:numRef>
          </c:cat>
          <c:val>
            <c:numRef>
              <c:f>Data!$B$2:$B$15</c:f>
              <c:numCache>
                <c:formatCode>General</c:formatCode>
                <c:ptCount val="14"/>
                <c:pt idx="0">
                  <c:v>25</c:v>
                </c:pt>
                <c:pt idx="1">
                  <c:v>24</c:v>
                </c:pt>
                <c:pt idx="2">
                  <c:v>18</c:v>
                </c:pt>
                <c:pt idx="3">
                  <c:v>22</c:v>
                </c:pt>
                <c:pt idx="4">
                  <c:v>27</c:v>
                </c:pt>
                <c:pt idx="5">
                  <c:v>19</c:v>
                </c:pt>
                <c:pt idx="6">
                  <c:v>24</c:v>
                </c:pt>
                <c:pt idx="7">
                  <c:v>22</c:v>
                </c:pt>
                <c:pt idx="8">
                  <c:v>31</c:v>
                </c:pt>
                <c:pt idx="9">
                  <c:v>29</c:v>
                </c:pt>
                <c:pt idx="10">
                  <c:v>24</c:v>
                </c:pt>
                <c:pt idx="11">
                  <c:v>30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4-4E8E-A3A2-A0A2059054F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ComparisonArea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Data!$A$2:$A$15</c:f>
              <c:numCache>
                <c:formatCode>[$-409]mmm\-yy;@</c:formatCode>
                <c:ptCount val="1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</c:numCache>
            </c:numRef>
          </c:cat>
          <c:val>
            <c:numRef>
              <c:f>Data!$C$2:$C$15</c:f>
              <c:numCache>
                <c:formatCode>General</c:formatCode>
                <c:ptCount val="14"/>
                <c:pt idx="0">
                  <c:v>24</c:v>
                </c:pt>
                <c:pt idx="1">
                  <c:v>33</c:v>
                </c:pt>
                <c:pt idx="2">
                  <c:v>39</c:v>
                </c:pt>
                <c:pt idx="3">
                  <c:v>30</c:v>
                </c:pt>
                <c:pt idx="4">
                  <c:v>25</c:v>
                </c:pt>
                <c:pt idx="5">
                  <c:v>26</c:v>
                </c:pt>
                <c:pt idx="6">
                  <c:v>29</c:v>
                </c:pt>
                <c:pt idx="7">
                  <c:v>34</c:v>
                </c:pt>
                <c:pt idx="8">
                  <c:v>38</c:v>
                </c:pt>
                <c:pt idx="9">
                  <c:v>29</c:v>
                </c:pt>
                <c:pt idx="10">
                  <c:v>31</c:v>
                </c:pt>
                <c:pt idx="11">
                  <c:v>29</c:v>
                </c:pt>
                <c:pt idx="12">
                  <c:v>30</c:v>
                </c:pt>
                <c:pt idx="1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84-4E8E-A3A2-A0A20590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339616"/>
        <c:axId val="2058350176"/>
      </c:lineChart>
      <c:dateAx>
        <c:axId val="2058339616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058350176"/>
        <c:crosses val="autoZero"/>
        <c:auto val="1"/>
        <c:lblOffset val="100"/>
        <c:baseTimeUnit val="months"/>
      </c:dateAx>
      <c:valAx>
        <c:axId val="20583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05833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466397</xdr:colOff>
      <xdr:row>18</xdr:row>
      <xdr:rowOff>175392</xdr:rowOff>
    </xdr:from>
    <xdr:to>
      <xdr:col>9</xdr:col>
      <xdr:colOff>545224</xdr:colOff>
      <xdr:row>38</xdr:row>
      <xdr:rowOff>64194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90B21E-9605-6078-4637-00F7B98D3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472965</xdr:colOff>
      <xdr:row>38</xdr:row>
      <xdr:rowOff>172106</xdr:rowOff>
    </xdr:from>
    <xdr:to>
      <xdr:col>9</xdr:col>
      <xdr:colOff>551793</xdr:colOff>
      <xdr:row>58</xdr:row>
      <xdr:rowOff>36955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AB264E-6E69-A380-4CB6-5AC21F0D6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ndrewpwheeler.com/2021/01/09/the-wdd-test-with-different-pre-post-time-periods/" TargetMode="External"/><Relationship Id="rId2" Type="http://schemas.openxmlformats.org/officeDocument/2006/relationships/hyperlink" Target="https://crimede-coder.com/" TargetMode="External"/><Relationship Id="rId1" Type="http://schemas.openxmlformats.org/officeDocument/2006/relationships/hyperlink" Target="mailto:andrew.wheeler@crimede-coder.com" TargetMode="External"/><Relationship Id="rId4" Type="http://schemas.openxmlformats.org/officeDocument/2006/relationships/hyperlink" Target="https://crimesciencejournal.biomedcentral.com/articles/10.1186/s40163-018-0085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topLeftCell="E1" zoomScale="85" zoomScaleNormal="85" workbookViewId="0">
      <selection activeCell="AD1" sqref="AD1"/>
    </sheetView>
  </sheetViews>
  <sheetFormatPr defaultRowHeight="15" x14ac:dyDescent="0.25"/>
  <cols>
    <col min="1" max="1" width="9.140625" style="1"/>
    <col min="2" max="2" width="12" bestFit="1" customWidth="1"/>
    <col min="3" max="3" width="15.85546875" bestFit="1" customWidth="1"/>
    <col min="4" max="4" width="15.85546875" customWidth="1"/>
    <col min="5" max="5" width="10.42578125" bestFit="1" customWidth="1"/>
    <col min="6" max="6" width="14.5703125" bestFit="1" customWidth="1"/>
    <col min="9" max="10" width="9.140625" style="3"/>
    <col min="16" max="17" width="15.85546875" customWidth="1"/>
    <col min="18" max="18" width="12.5703125" customWidth="1"/>
    <col min="24" max="24" width="10.140625" bestFit="1" customWidth="1"/>
    <col min="25" max="25" width="10.5703125" bestFit="1" customWidth="1"/>
    <col min="26" max="28" width="9.140625" style="5"/>
  </cols>
  <sheetData>
    <row r="1" spans="1:28" x14ac:dyDescent="0.25">
      <c r="A1" s="1" t="s">
        <v>1</v>
      </c>
      <c r="B1" t="s">
        <v>2</v>
      </c>
      <c r="C1" t="s">
        <v>0</v>
      </c>
      <c r="E1" t="s">
        <v>18</v>
      </c>
      <c r="F1" t="s">
        <v>19</v>
      </c>
      <c r="G1" t="s">
        <v>20</v>
      </c>
      <c r="H1" t="s">
        <v>3</v>
      </c>
      <c r="I1" s="3" t="s">
        <v>4</v>
      </c>
      <c r="J1" s="3" t="s">
        <v>5</v>
      </c>
      <c r="K1" t="s">
        <v>27</v>
      </c>
      <c r="L1" t="s">
        <v>50</v>
      </c>
      <c r="M1" t="s">
        <v>30</v>
      </c>
      <c r="O1" t="s">
        <v>28</v>
      </c>
      <c r="P1" t="s">
        <v>24</v>
      </c>
      <c r="Q1" t="s">
        <v>29</v>
      </c>
      <c r="R1" t="s">
        <v>25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s="5" t="s">
        <v>46</v>
      </c>
      <c r="AA1" s="5" t="s">
        <v>47</v>
      </c>
      <c r="AB1" s="5" t="s">
        <v>48</v>
      </c>
    </row>
    <row r="2" spans="1:28" x14ac:dyDescent="0.25">
      <c r="A2" s="1">
        <v>44927</v>
      </c>
      <c r="B2">
        <v>25</v>
      </c>
      <c r="C2">
        <v>24</v>
      </c>
      <c r="E2">
        <f>B2</f>
        <v>25</v>
      </c>
      <c r="F2">
        <f>C2</f>
        <v>24</v>
      </c>
      <c r="G2">
        <f>E2-F2</f>
        <v>1</v>
      </c>
      <c r="H2">
        <f>SQRT(E2 +F2)</f>
        <v>7</v>
      </c>
      <c r="I2" s="3">
        <f>G2- 2*H2</f>
        <v>-13</v>
      </c>
      <c r="J2" s="3">
        <f>G2 + 2*H2</f>
        <v>15</v>
      </c>
      <c r="K2">
        <v>0</v>
      </c>
      <c r="L2" s="3">
        <f>I2-J2</f>
        <v>-28</v>
      </c>
      <c r="M2" t="str">
        <f>CONCATENATE("Total effect over time, ",G15," CI: ",ROUND(I15,0)," to ",ROUND(J15,0))</f>
        <v>Total effect over time, -71 CI: -126 to -16</v>
      </c>
      <c r="O2">
        <f>ROW()-1</f>
        <v>1</v>
      </c>
      <c r="P2">
        <f>G2/O2</f>
        <v>1</v>
      </c>
      <c r="Q2">
        <f>(1/O2)^2</f>
        <v>1</v>
      </c>
      <c r="R2">
        <f>SQRT(Q2*E2 + Q2*F2)</f>
        <v>7</v>
      </c>
      <c r="U2">
        <f>LN(E2/F2)</f>
        <v>4.08219945202552E-2</v>
      </c>
      <c r="V2">
        <f>SQRT(1/E2 + 1/F2)</f>
        <v>0.28577380332470409</v>
      </c>
      <c r="W2">
        <f>EXP(U2)</f>
        <v>1.0416666666666667</v>
      </c>
      <c r="X2">
        <f>EXP(U2 - 2*V2)</f>
        <v>0.58817802568967781</v>
      </c>
      <c r="Y2">
        <f>EXP(U2 + 2*V2)</f>
        <v>1.8447976582806345</v>
      </c>
      <c r="Z2" s="5">
        <f>1-W2</f>
        <v>-4.1666666666666741E-2</v>
      </c>
      <c r="AA2" s="5">
        <f>1-X2</f>
        <v>0.41182197431032219</v>
      </c>
      <c r="AB2" s="5">
        <f>1-Y2</f>
        <v>-0.84479765828063447</v>
      </c>
    </row>
    <row r="3" spans="1:28" x14ac:dyDescent="0.25">
      <c r="A3" s="1">
        <v>44958</v>
      </c>
      <c r="B3">
        <v>24</v>
      </c>
      <c r="C3">
        <v>33</v>
      </c>
      <c r="E3">
        <f>B3+E2</f>
        <v>49</v>
      </c>
      <c r="F3">
        <f>F2+C3</f>
        <v>57</v>
      </c>
      <c r="G3">
        <f t="shared" ref="G3:G15" si="0">E3-F3</f>
        <v>-8</v>
      </c>
      <c r="H3">
        <f t="shared" ref="H3:H15" si="1">SQRT(E3 +F3)</f>
        <v>10.295630140987001</v>
      </c>
      <c r="I3" s="3">
        <f t="shared" ref="I3:I15" si="2">G3- 2*H3</f>
        <v>-28.591260281974002</v>
      </c>
      <c r="J3" s="3">
        <f t="shared" ref="J3:J15" si="3">G3 + 2*H3</f>
        <v>12.591260281974002</v>
      </c>
      <c r="K3">
        <v>0</v>
      </c>
      <c r="L3" s="3">
        <f t="shared" ref="L3:L15" si="4">I3-J3</f>
        <v>-41.182520563948003</v>
      </c>
      <c r="O3">
        <f t="shared" ref="O3:O15" si="5">ROW()-1</f>
        <v>2</v>
      </c>
      <c r="P3">
        <f t="shared" ref="P3:P15" si="6">G3/O3</f>
        <v>-4</v>
      </c>
      <c r="Q3">
        <f t="shared" ref="Q3:Q15" si="7">(1/O3)^2</f>
        <v>0.25</v>
      </c>
      <c r="R3">
        <f t="shared" ref="R3:R15" si="8">SQRT(Q3*E3 + Q3*F3)</f>
        <v>5.1478150704935004</v>
      </c>
      <c r="U3">
        <f t="shared" ref="U3:U15" si="9">LN(E3/F3)</f>
        <v>-0.15123096972392353</v>
      </c>
      <c r="V3">
        <f t="shared" ref="V3:V15" si="10">SQRT(1/E3 + 1/F3)</f>
        <v>0.19481278940159172</v>
      </c>
      <c r="W3">
        <f t="shared" ref="W3:W15" si="11">EXP(U3)</f>
        <v>0.85964912280701755</v>
      </c>
      <c r="X3">
        <f t="shared" ref="X3:X15" si="12">EXP(U3 - 2*V3)</f>
        <v>0.58224931392974422</v>
      </c>
      <c r="Y3">
        <f t="shared" ref="Y3:Y15" si="13">EXP(U3 + 2*V3)</f>
        <v>1.2692099357837012</v>
      </c>
      <c r="Z3" s="5">
        <f t="shared" ref="Z3:Z15" si="14">1-W3</f>
        <v>0.14035087719298245</v>
      </c>
      <c r="AA3" s="5">
        <f t="shared" ref="AA3:AA15" si="15">1-X3</f>
        <v>0.41775068607025578</v>
      </c>
      <c r="AB3" s="5">
        <f t="shared" ref="AB3:AB15" si="16">1-Y3</f>
        <v>-0.26920993578370123</v>
      </c>
    </row>
    <row r="4" spans="1:28" x14ac:dyDescent="0.25">
      <c r="A4" s="1">
        <v>44986</v>
      </c>
      <c r="B4">
        <v>18</v>
      </c>
      <c r="C4">
        <v>39</v>
      </c>
      <c r="E4">
        <f t="shared" ref="E4:E15" si="17">B4+E3</f>
        <v>67</v>
      </c>
      <c r="F4">
        <f t="shared" ref="F4:F15" si="18">F3+C4</f>
        <v>96</v>
      </c>
      <c r="G4">
        <f t="shared" si="0"/>
        <v>-29</v>
      </c>
      <c r="H4">
        <f t="shared" si="1"/>
        <v>12.767145334803704</v>
      </c>
      <c r="I4" s="3">
        <f t="shared" si="2"/>
        <v>-54.534290669607408</v>
      </c>
      <c r="J4" s="3">
        <f t="shared" si="3"/>
        <v>-3.4657093303925919</v>
      </c>
      <c r="K4">
        <v>0</v>
      </c>
      <c r="L4" s="3">
        <f t="shared" si="4"/>
        <v>-51.068581339214816</v>
      </c>
      <c r="O4">
        <f t="shared" si="5"/>
        <v>3</v>
      </c>
      <c r="P4">
        <f t="shared" si="6"/>
        <v>-9.6666666666666661</v>
      </c>
      <c r="Q4">
        <f t="shared" si="7"/>
        <v>0.1111111111111111</v>
      </c>
      <c r="R4">
        <f t="shared" si="8"/>
        <v>4.2557151116012353</v>
      </c>
      <c r="U4">
        <f t="shared" si="9"/>
        <v>-0.35965557207687021</v>
      </c>
      <c r="V4">
        <f t="shared" si="10"/>
        <v>0.15919183333637132</v>
      </c>
      <c r="W4">
        <f t="shared" si="11"/>
        <v>0.69791666666666663</v>
      </c>
      <c r="X4">
        <f t="shared" si="12"/>
        <v>0.50761132183579005</v>
      </c>
      <c r="Y4">
        <f t="shared" si="13"/>
        <v>0.95956818269841837</v>
      </c>
      <c r="Z4" s="5">
        <f t="shared" si="14"/>
        <v>0.30208333333333337</v>
      </c>
      <c r="AA4" s="5">
        <f t="shared" si="15"/>
        <v>0.49238867816420995</v>
      </c>
      <c r="AB4" s="5">
        <f t="shared" si="16"/>
        <v>4.043181730158163E-2</v>
      </c>
    </row>
    <row r="5" spans="1:28" x14ac:dyDescent="0.25">
      <c r="A5" s="1">
        <v>45017</v>
      </c>
      <c r="B5">
        <v>22</v>
      </c>
      <c r="C5">
        <v>30</v>
      </c>
      <c r="E5">
        <f t="shared" si="17"/>
        <v>89</v>
      </c>
      <c r="F5">
        <f t="shared" si="18"/>
        <v>126</v>
      </c>
      <c r="G5">
        <f t="shared" si="0"/>
        <v>-37</v>
      </c>
      <c r="H5">
        <f t="shared" si="1"/>
        <v>14.66287829861518</v>
      </c>
      <c r="I5" s="3">
        <f t="shared" si="2"/>
        <v>-66.325756597230367</v>
      </c>
      <c r="J5" s="3">
        <f t="shared" si="3"/>
        <v>-7.6742434027696405</v>
      </c>
      <c r="K5">
        <v>0</v>
      </c>
      <c r="L5" s="3">
        <f t="shared" si="4"/>
        <v>-58.651513194460726</v>
      </c>
      <c r="O5">
        <f t="shared" si="5"/>
        <v>4</v>
      </c>
      <c r="P5">
        <f t="shared" si="6"/>
        <v>-9.25</v>
      </c>
      <c r="Q5">
        <f t="shared" si="7"/>
        <v>6.25E-2</v>
      </c>
      <c r="R5">
        <f t="shared" si="8"/>
        <v>3.6657195746537949</v>
      </c>
      <c r="U5">
        <f t="shared" si="9"/>
        <v>-0.34764553721933811</v>
      </c>
      <c r="V5">
        <f t="shared" si="10"/>
        <v>0.13846466333576848</v>
      </c>
      <c r="W5">
        <f t="shared" si="11"/>
        <v>0.70634920634920639</v>
      </c>
      <c r="X5">
        <f t="shared" si="12"/>
        <v>0.53548903585869678</v>
      </c>
      <c r="Y5">
        <f t="shared" si="13"/>
        <v>0.93172626869957009</v>
      </c>
      <c r="Z5" s="5">
        <f t="shared" si="14"/>
        <v>0.29365079365079361</v>
      </c>
      <c r="AA5" s="5">
        <f t="shared" si="15"/>
        <v>0.46451096414130322</v>
      </c>
      <c r="AB5" s="5">
        <f t="shared" si="16"/>
        <v>6.8273731300429907E-2</v>
      </c>
    </row>
    <row r="6" spans="1:28" x14ac:dyDescent="0.25">
      <c r="A6" s="1">
        <v>45047</v>
      </c>
      <c r="B6">
        <v>27</v>
      </c>
      <c r="C6">
        <v>25</v>
      </c>
      <c r="E6">
        <f t="shared" si="17"/>
        <v>116</v>
      </c>
      <c r="F6">
        <f t="shared" si="18"/>
        <v>151</v>
      </c>
      <c r="G6">
        <f t="shared" si="0"/>
        <v>-35</v>
      </c>
      <c r="H6">
        <f t="shared" si="1"/>
        <v>16.340134638368191</v>
      </c>
      <c r="I6" s="3">
        <f t="shared" si="2"/>
        <v>-67.680269276736382</v>
      </c>
      <c r="J6" s="3">
        <f t="shared" si="3"/>
        <v>-2.3197307232636177</v>
      </c>
      <c r="K6">
        <v>0</v>
      </c>
      <c r="L6" s="3">
        <f t="shared" si="4"/>
        <v>-65.360538553472765</v>
      </c>
      <c r="O6">
        <f t="shared" si="5"/>
        <v>5</v>
      </c>
      <c r="P6">
        <f t="shared" si="6"/>
        <v>-7</v>
      </c>
      <c r="Q6">
        <f t="shared" si="7"/>
        <v>4.0000000000000008E-2</v>
      </c>
      <c r="R6">
        <f t="shared" si="8"/>
        <v>3.2680269276736387</v>
      </c>
      <c r="U6">
        <f t="shared" si="9"/>
        <v>-0.26368964570855963</v>
      </c>
      <c r="V6">
        <f t="shared" si="10"/>
        <v>0.12346338004227733</v>
      </c>
      <c r="W6">
        <f t="shared" si="11"/>
        <v>0.76821192052980136</v>
      </c>
      <c r="X6">
        <f t="shared" si="12"/>
        <v>0.60012554391628969</v>
      </c>
      <c r="Y6">
        <f t="shared" si="13"/>
        <v>0.98337682977614527</v>
      </c>
      <c r="Z6" s="5">
        <f t="shared" si="14"/>
        <v>0.23178807947019864</v>
      </c>
      <c r="AA6" s="5">
        <f t="shared" si="15"/>
        <v>0.39987445608371031</v>
      </c>
      <c r="AB6" s="5">
        <f t="shared" si="16"/>
        <v>1.6623170223854733E-2</v>
      </c>
    </row>
    <row r="7" spans="1:28" x14ac:dyDescent="0.25">
      <c r="A7" s="1">
        <v>45078</v>
      </c>
      <c r="B7">
        <v>19</v>
      </c>
      <c r="C7">
        <v>26</v>
      </c>
      <c r="E7">
        <f t="shared" si="17"/>
        <v>135</v>
      </c>
      <c r="F7">
        <f t="shared" si="18"/>
        <v>177</v>
      </c>
      <c r="G7">
        <f t="shared" si="0"/>
        <v>-42</v>
      </c>
      <c r="H7">
        <f t="shared" si="1"/>
        <v>17.663521732655695</v>
      </c>
      <c r="I7" s="3">
        <f t="shared" si="2"/>
        <v>-77.327043465311391</v>
      </c>
      <c r="J7" s="3">
        <f t="shared" si="3"/>
        <v>-6.6729565346886091</v>
      </c>
      <c r="K7">
        <v>0</v>
      </c>
      <c r="L7" s="3">
        <f t="shared" si="4"/>
        <v>-70.654086930622782</v>
      </c>
      <c r="O7">
        <f t="shared" si="5"/>
        <v>6</v>
      </c>
      <c r="P7">
        <f t="shared" si="6"/>
        <v>-7</v>
      </c>
      <c r="Q7">
        <f t="shared" si="7"/>
        <v>2.7777777777777776E-2</v>
      </c>
      <c r="R7">
        <f t="shared" si="8"/>
        <v>2.9439202887759488</v>
      </c>
      <c r="U7">
        <f t="shared" si="9"/>
        <v>-0.27087495413539975</v>
      </c>
      <c r="V7">
        <f t="shared" si="10"/>
        <v>0.11426777726696052</v>
      </c>
      <c r="W7">
        <f t="shared" si="11"/>
        <v>0.76271186440677963</v>
      </c>
      <c r="X7">
        <f t="shared" si="12"/>
        <v>0.60688830968374685</v>
      </c>
      <c r="Y7">
        <f t="shared" si="13"/>
        <v>0.95854439577194761</v>
      </c>
      <c r="Z7" s="5">
        <f t="shared" si="14"/>
        <v>0.23728813559322037</v>
      </c>
      <c r="AA7" s="5">
        <f t="shared" si="15"/>
        <v>0.39311169031625315</v>
      </c>
      <c r="AB7" s="5">
        <f t="shared" si="16"/>
        <v>4.145560422805239E-2</v>
      </c>
    </row>
    <row r="8" spans="1:28" x14ac:dyDescent="0.25">
      <c r="A8" s="1">
        <v>45108</v>
      </c>
      <c r="B8">
        <v>24</v>
      </c>
      <c r="C8">
        <v>29</v>
      </c>
      <c r="E8">
        <f t="shared" si="17"/>
        <v>159</v>
      </c>
      <c r="F8">
        <f t="shared" si="18"/>
        <v>206</v>
      </c>
      <c r="G8">
        <f t="shared" si="0"/>
        <v>-47</v>
      </c>
      <c r="H8">
        <f t="shared" si="1"/>
        <v>19.104973174542799</v>
      </c>
      <c r="I8" s="3">
        <f t="shared" si="2"/>
        <v>-85.209946349085598</v>
      </c>
      <c r="J8" s="3">
        <f t="shared" si="3"/>
        <v>-8.7900536509144018</v>
      </c>
      <c r="K8">
        <v>0</v>
      </c>
      <c r="L8" s="3">
        <f t="shared" si="4"/>
        <v>-76.419892698171196</v>
      </c>
      <c r="O8">
        <f t="shared" si="5"/>
        <v>7</v>
      </c>
      <c r="P8">
        <f t="shared" si="6"/>
        <v>-6.7142857142857144</v>
      </c>
      <c r="Q8">
        <f t="shared" si="7"/>
        <v>2.0408163265306121E-2</v>
      </c>
      <c r="R8">
        <f t="shared" si="8"/>
        <v>2.7292818820775429</v>
      </c>
      <c r="U8">
        <f t="shared" si="9"/>
        <v>-0.25897196656934957</v>
      </c>
      <c r="V8">
        <f t="shared" si="10"/>
        <v>0.10556361640328292</v>
      </c>
      <c r="W8">
        <f t="shared" si="11"/>
        <v>0.77184466019417475</v>
      </c>
      <c r="X8">
        <f t="shared" si="12"/>
        <v>0.62494027152281229</v>
      </c>
      <c r="Y8">
        <f t="shared" si="13"/>
        <v>0.9532817880636687</v>
      </c>
      <c r="Z8" s="5">
        <f t="shared" si="14"/>
        <v>0.22815533980582525</v>
      </c>
      <c r="AA8" s="5">
        <f t="shared" si="15"/>
        <v>0.37505972847718771</v>
      </c>
      <c r="AB8" s="5">
        <f t="shared" si="16"/>
        <v>4.67182119363313E-2</v>
      </c>
    </row>
    <row r="9" spans="1:28" x14ac:dyDescent="0.25">
      <c r="A9" s="1">
        <v>45139</v>
      </c>
      <c r="B9">
        <v>22</v>
      </c>
      <c r="C9">
        <v>34</v>
      </c>
      <c r="E9">
        <f t="shared" si="17"/>
        <v>181</v>
      </c>
      <c r="F9">
        <f t="shared" si="18"/>
        <v>240</v>
      </c>
      <c r="G9">
        <f t="shared" si="0"/>
        <v>-59</v>
      </c>
      <c r="H9">
        <f t="shared" si="1"/>
        <v>20.518284528683193</v>
      </c>
      <c r="I9" s="3">
        <f t="shared" si="2"/>
        <v>-100.03656905736639</v>
      </c>
      <c r="J9" s="3">
        <f t="shared" si="3"/>
        <v>-17.963430942633615</v>
      </c>
      <c r="K9">
        <v>0</v>
      </c>
      <c r="L9" s="3">
        <f t="shared" si="4"/>
        <v>-82.073138114732785</v>
      </c>
      <c r="O9">
        <f t="shared" si="5"/>
        <v>8</v>
      </c>
      <c r="P9">
        <f t="shared" si="6"/>
        <v>-7.375</v>
      </c>
      <c r="Q9">
        <f t="shared" si="7"/>
        <v>1.5625E-2</v>
      </c>
      <c r="R9">
        <f t="shared" si="8"/>
        <v>2.5647855660853991</v>
      </c>
      <c r="U9">
        <f t="shared" si="9"/>
        <v>-0.28214189207616558</v>
      </c>
      <c r="V9">
        <f t="shared" si="10"/>
        <v>9.8445561327668324E-2</v>
      </c>
      <c r="W9">
        <f t="shared" si="11"/>
        <v>0.75416666666666665</v>
      </c>
      <c r="X9">
        <f t="shared" si="12"/>
        <v>0.61938203562363747</v>
      </c>
      <c r="Y9">
        <f t="shared" si="13"/>
        <v>0.91828197848592119</v>
      </c>
      <c r="Z9" s="5">
        <f t="shared" si="14"/>
        <v>0.24583333333333335</v>
      </c>
      <c r="AA9" s="5">
        <f t="shared" si="15"/>
        <v>0.38061796437636253</v>
      </c>
      <c r="AB9" s="5">
        <f t="shared" si="16"/>
        <v>8.1718021514078809E-2</v>
      </c>
    </row>
    <row r="10" spans="1:28" x14ac:dyDescent="0.25">
      <c r="A10" s="1">
        <v>45170</v>
      </c>
      <c r="B10">
        <v>31</v>
      </c>
      <c r="C10">
        <v>38</v>
      </c>
      <c r="E10">
        <f t="shared" si="17"/>
        <v>212</v>
      </c>
      <c r="F10">
        <f t="shared" si="18"/>
        <v>278</v>
      </c>
      <c r="G10">
        <f t="shared" si="0"/>
        <v>-66</v>
      </c>
      <c r="H10">
        <f t="shared" si="1"/>
        <v>22.135943621178654</v>
      </c>
      <c r="I10" s="3">
        <f t="shared" si="2"/>
        <v>-110.27188724235731</v>
      </c>
      <c r="J10" s="3">
        <f t="shared" si="3"/>
        <v>-21.728112757642691</v>
      </c>
      <c r="K10">
        <v>0</v>
      </c>
      <c r="L10" s="3">
        <f t="shared" si="4"/>
        <v>-88.543774484714618</v>
      </c>
      <c r="O10">
        <f t="shared" si="5"/>
        <v>9</v>
      </c>
      <c r="P10">
        <f t="shared" si="6"/>
        <v>-7.333333333333333</v>
      </c>
      <c r="Q10">
        <f t="shared" si="7"/>
        <v>1.2345679012345678E-2</v>
      </c>
      <c r="R10">
        <f t="shared" si="8"/>
        <v>2.4595492912420727</v>
      </c>
      <c r="U10">
        <f t="shared" si="9"/>
        <v>-0.27103483901862457</v>
      </c>
      <c r="V10">
        <f t="shared" si="10"/>
        <v>9.1181705589628806E-2</v>
      </c>
      <c r="W10">
        <f t="shared" si="11"/>
        <v>0.76258992805755399</v>
      </c>
      <c r="X10">
        <f t="shared" si="12"/>
        <v>0.63546500916068016</v>
      </c>
      <c r="Y10">
        <f t="shared" si="13"/>
        <v>0.91514621574982669</v>
      </c>
      <c r="Z10" s="5">
        <f t="shared" si="14"/>
        <v>0.23741007194244601</v>
      </c>
      <c r="AA10" s="5">
        <f t="shared" si="15"/>
        <v>0.36453499083931984</v>
      </c>
      <c r="AB10" s="5">
        <f t="shared" si="16"/>
        <v>8.4853784250173314E-2</v>
      </c>
    </row>
    <row r="11" spans="1:28" x14ac:dyDescent="0.25">
      <c r="A11" s="1">
        <v>45200</v>
      </c>
      <c r="B11">
        <v>29</v>
      </c>
      <c r="C11">
        <v>29</v>
      </c>
      <c r="E11">
        <f t="shared" si="17"/>
        <v>241</v>
      </c>
      <c r="F11">
        <f t="shared" si="18"/>
        <v>307</v>
      </c>
      <c r="G11">
        <f t="shared" si="0"/>
        <v>-66</v>
      </c>
      <c r="H11">
        <f t="shared" si="1"/>
        <v>23.409399821439251</v>
      </c>
      <c r="I11" s="3">
        <f t="shared" si="2"/>
        <v>-112.8187996428785</v>
      </c>
      <c r="J11" s="3">
        <f t="shared" si="3"/>
        <v>-19.181200357121497</v>
      </c>
      <c r="K11">
        <v>0</v>
      </c>
      <c r="L11" s="3">
        <f t="shared" si="4"/>
        <v>-93.637599285757005</v>
      </c>
      <c r="O11">
        <f t="shared" si="5"/>
        <v>10</v>
      </c>
      <c r="P11">
        <f t="shared" si="6"/>
        <v>-6.6</v>
      </c>
      <c r="Q11">
        <f t="shared" si="7"/>
        <v>1.0000000000000002E-2</v>
      </c>
      <c r="R11">
        <f t="shared" si="8"/>
        <v>2.3409399821439254</v>
      </c>
      <c r="U11">
        <f t="shared" si="9"/>
        <v>-0.24205081409654214</v>
      </c>
      <c r="V11">
        <f t="shared" si="10"/>
        <v>8.6062225067616099E-2</v>
      </c>
      <c r="W11">
        <f t="shared" si="11"/>
        <v>0.78501628664495116</v>
      </c>
      <c r="X11">
        <f t="shared" si="12"/>
        <v>0.66088511159355889</v>
      </c>
      <c r="Y11">
        <f t="shared" si="13"/>
        <v>0.932462480221251</v>
      </c>
      <c r="Z11" s="5">
        <f t="shared" si="14"/>
        <v>0.21498371335504884</v>
      </c>
      <c r="AA11" s="5">
        <f t="shared" si="15"/>
        <v>0.33911488840644111</v>
      </c>
      <c r="AB11" s="5">
        <f t="shared" si="16"/>
        <v>6.7537519778749E-2</v>
      </c>
    </row>
    <row r="12" spans="1:28" x14ac:dyDescent="0.25">
      <c r="A12" s="1">
        <v>45231</v>
      </c>
      <c r="B12">
        <v>24</v>
      </c>
      <c r="C12">
        <v>31</v>
      </c>
      <c r="E12">
        <f t="shared" si="17"/>
        <v>265</v>
      </c>
      <c r="F12">
        <f t="shared" si="18"/>
        <v>338</v>
      </c>
      <c r="G12">
        <f t="shared" si="0"/>
        <v>-73</v>
      </c>
      <c r="H12">
        <f t="shared" si="1"/>
        <v>24.556058315617349</v>
      </c>
      <c r="I12" s="3">
        <f t="shared" si="2"/>
        <v>-122.1121166312347</v>
      </c>
      <c r="J12" s="3">
        <f t="shared" si="3"/>
        <v>-23.887883368765301</v>
      </c>
      <c r="K12">
        <v>0</v>
      </c>
      <c r="L12" s="3">
        <f t="shared" si="4"/>
        <v>-98.224233262469397</v>
      </c>
      <c r="O12">
        <f t="shared" si="5"/>
        <v>11</v>
      </c>
      <c r="P12">
        <f t="shared" si="6"/>
        <v>-6.6363636363636367</v>
      </c>
      <c r="Q12">
        <f t="shared" si="7"/>
        <v>8.2644628099173556E-3</v>
      </c>
      <c r="R12">
        <f t="shared" si="8"/>
        <v>2.2323689377833955</v>
      </c>
      <c r="U12">
        <f t="shared" si="9"/>
        <v>-0.24331606949679657</v>
      </c>
      <c r="V12">
        <f t="shared" si="10"/>
        <v>8.2049770184426371E-2</v>
      </c>
      <c r="W12">
        <f t="shared" si="11"/>
        <v>0.78402366863905326</v>
      </c>
      <c r="X12">
        <f t="shared" si="12"/>
        <v>0.66536759948993618</v>
      </c>
      <c r="Y12">
        <f t="shared" si="13"/>
        <v>0.92383986454624079</v>
      </c>
      <c r="Z12" s="5">
        <f t="shared" si="14"/>
        <v>0.21597633136094674</v>
      </c>
      <c r="AA12" s="5">
        <f t="shared" si="15"/>
        <v>0.33463240051006382</v>
      </c>
      <c r="AB12" s="5">
        <f t="shared" si="16"/>
        <v>7.6160135453759215E-2</v>
      </c>
    </row>
    <row r="13" spans="1:28" x14ac:dyDescent="0.25">
      <c r="A13" s="1">
        <v>45261</v>
      </c>
      <c r="B13">
        <v>30</v>
      </c>
      <c r="C13">
        <v>29</v>
      </c>
      <c r="E13">
        <f t="shared" si="17"/>
        <v>295</v>
      </c>
      <c r="F13">
        <f t="shared" si="18"/>
        <v>367</v>
      </c>
      <c r="G13">
        <f t="shared" si="0"/>
        <v>-72</v>
      </c>
      <c r="H13">
        <f t="shared" si="1"/>
        <v>25.729360660537214</v>
      </c>
      <c r="I13" s="3">
        <f t="shared" si="2"/>
        <v>-123.45872132107442</v>
      </c>
      <c r="J13" s="3">
        <f t="shared" si="3"/>
        <v>-20.541278678925572</v>
      </c>
      <c r="K13">
        <v>0</v>
      </c>
      <c r="L13" s="3">
        <f t="shared" si="4"/>
        <v>-102.91744264214884</v>
      </c>
      <c r="O13">
        <f t="shared" si="5"/>
        <v>12</v>
      </c>
      <c r="P13">
        <f t="shared" si="6"/>
        <v>-6</v>
      </c>
      <c r="Q13">
        <f t="shared" si="7"/>
        <v>6.9444444444444441E-3</v>
      </c>
      <c r="R13">
        <f t="shared" si="8"/>
        <v>2.1441133883781012</v>
      </c>
      <c r="U13">
        <f t="shared" si="9"/>
        <v>-0.21838649171475047</v>
      </c>
      <c r="V13">
        <f t="shared" si="10"/>
        <v>7.8196075021714176E-2</v>
      </c>
      <c r="W13">
        <f t="shared" si="11"/>
        <v>0.80381471389645776</v>
      </c>
      <c r="X13">
        <f t="shared" si="12"/>
        <v>0.68744143277699599</v>
      </c>
      <c r="Y13">
        <f t="shared" si="13"/>
        <v>0.93988820497242709</v>
      </c>
      <c r="Z13" s="5">
        <f t="shared" si="14"/>
        <v>0.19618528610354224</v>
      </c>
      <c r="AA13" s="5">
        <f t="shared" si="15"/>
        <v>0.31255856722300401</v>
      </c>
      <c r="AB13" s="5">
        <f t="shared" si="16"/>
        <v>6.0111795027572912E-2</v>
      </c>
    </row>
    <row r="14" spans="1:28" x14ac:dyDescent="0.25">
      <c r="A14" s="1">
        <v>45292</v>
      </c>
      <c r="B14">
        <v>29</v>
      </c>
      <c r="C14">
        <v>30</v>
      </c>
      <c r="E14">
        <f t="shared" si="17"/>
        <v>324</v>
      </c>
      <c r="F14">
        <f t="shared" si="18"/>
        <v>397</v>
      </c>
      <c r="G14">
        <f t="shared" si="0"/>
        <v>-73</v>
      </c>
      <c r="H14">
        <f t="shared" si="1"/>
        <v>26.851443164195103</v>
      </c>
      <c r="I14" s="3">
        <f t="shared" si="2"/>
        <v>-126.70288632839021</v>
      </c>
      <c r="J14" s="3">
        <f t="shared" si="3"/>
        <v>-19.297113671609793</v>
      </c>
      <c r="K14">
        <v>0</v>
      </c>
      <c r="L14" s="3">
        <f t="shared" si="4"/>
        <v>-107.40577265678041</v>
      </c>
      <c r="O14">
        <f t="shared" si="5"/>
        <v>13</v>
      </c>
      <c r="P14">
        <f t="shared" si="6"/>
        <v>-5.615384615384615</v>
      </c>
      <c r="Q14">
        <f t="shared" si="7"/>
        <v>5.9171597633136102E-3</v>
      </c>
      <c r="R14">
        <f t="shared" si="8"/>
        <v>2.0654956280150083</v>
      </c>
      <c r="U14">
        <f t="shared" si="9"/>
        <v>-0.20319276489486102</v>
      </c>
      <c r="V14">
        <f t="shared" si="10"/>
        <v>7.4868627880734201E-2</v>
      </c>
      <c r="W14">
        <f t="shared" si="11"/>
        <v>0.81612090680100757</v>
      </c>
      <c r="X14">
        <f t="shared" si="12"/>
        <v>0.70262636098845055</v>
      </c>
      <c r="Y14">
        <f t="shared" si="13"/>
        <v>0.94794811509875476</v>
      </c>
      <c r="Z14" s="5">
        <f t="shared" si="14"/>
        <v>0.18387909319899243</v>
      </c>
      <c r="AA14" s="5">
        <f t="shared" si="15"/>
        <v>0.29737363901154945</v>
      </c>
      <c r="AB14" s="5">
        <f t="shared" si="16"/>
        <v>5.2051884901245238E-2</v>
      </c>
    </row>
    <row r="15" spans="1:28" x14ac:dyDescent="0.25">
      <c r="A15" s="1">
        <v>45323</v>
      </c>
      <c r="B15">
        <v>25</v>
      </c>
      <c r="C15">
        <v>23</v>
      </c>
      <c r="E15">
        <f t="shared" si="17"/>
        <v>349</v>
      </c>
      <c r="F15">
        <f t="shared" si="18"/>
        <v>420</v>
      </c>
      <c r="G15">
        <f t="shared" si="0"/>
        <v>-71</v>
      </c>
      <c r="H15">
        <f t="shared" si="1"/>
        <v>27.730849247724095</v>
      </c>
      <c r="I15" s="3">
        <f t="shared" si="2"/>
        <v>-126.46169849544819</v>
      </c>
      <c r="J15" s="3">
        <f t="shared" si="3"/>
        <v>-15.538301504551811</v>
      </c>
      <c r="K15">
        <v>0</v>
      </c>
      <c r="L15" s="3">
        <f t="shared" si="4"/>
        <v>-110.92339699089638</v>
      </c>
      <c r="O15">
        <f t="shared" si="5"/>
        <v>14</v>
      </c>
      <c r="P15">
        <f t="shared" si="6"/>
        <v>-5.0714285714285712</v>
      </c>
      <c r="Q15">
        <f t="shared" si="7"/>
        <v>5.1020408163265302E-3</v>
      </c>
      <c r="R15">
        <f t="shared" si="8"/>
        <v>1.9807749462660067</v>
      </c>
      <c r="U15">
        <f t="shared" si="9"/>
        <v>-0.18518278907498678</v>
      </c>
      <c r="V15">
        <f t="shared" si="10"/>
        <v>7.2431221816605884E-2</v>
      </c>
      <c r="W15">
        <f t="shared" si="11"/>
        <v>0.830952380952381</v>
      </c>
      <c r="X15">
        <f t="shared" si="12"/>
        <v>0.71889121529992195</v>
      </c>
      <c r="Y15">
        <f t="shared" si="13"/>
        <v>0.96048170392840504</v>
      </c>
      <c r="Z15" s="5">
        <f t="shared" si="14"/>
        <v>0.169047619047619</v>
      </c>
      <c r="AA15" s="5">
        <f t="shared" si="15"/>
        <v>0.28110878470007805</v>
      </c>
      <c r="AB15" s="5">
        <f t="shared" si="16"/>
        <v>3.951829607159496E-2</v>
      </c>
    </row>
    <row r="18" spans="2:21" x14ac:dyDescent="0.25">
      <c r="B18" t="s">
        <v>21</v>
      </c>
      <c r="F18" t="s">
        <v>22</v>
      </c>
      <c r="P18" t="s">
        <v>23</v>
      </c>
      <c r="U18" t="s">
        <v>38</v>
      </c>
    </row>
    <row r="19" spans="2:21" x14ac:dyDescent="0.25">
      <c r="U19" t="s">
        <v>39</v>
      </c>
    </row>
    <row r="20" spans="2:21" x14ac:dyDescent="0.25">
      <c r="U20" t="s">
        <v>49</v>
      </c>
    </row>
    <row r="23" spans="2:21" x14ac:dyDescent="0.25">
      <c r="J23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FE78-5168-4E25-A27E-59AA5596D17E}">
  <dimension ref="B3:C23"/>
  <sheetViews>
    <sheetView workbookViewId="0">
      <selection activeCell="C11" sqref="C11"/>
    </sheetView>
  </sheetViews>
  <sheetFormatPr defaultRowHeight="15" x14ac:dyDescent="0.25"/>
  <cols>
    <col min="2" max="2" width="48.85546875" bestFit="1" customWidth="1"/>
  </cols>
  <sheetData>
    <row r="3" spans="2:3" x14ac:dyDescent="0.25">
      <c r="B3" s="4" t="s">
        <v>8</v>
      </c>
      <c r="C3" t="s">
        <v>6</v>
      </c>
    </row>
    <row r="4" spans="2:3" x14ac:dyDescent="0.25">
      <c r="B4" s="4" t="s">
        <v>7</v>
      </c>
      <c r="C4" s="2" t="s">
        <v>9</v>
      </c>
    </row>
    <row r="5" spans="2:3" x14ac:dyDescent="0.25">
      <c r="B5" s="4" t="s">
        <v>10</v>
      </c>
      <c r="C5" s="2" t="s">
        <v>11</v>
      </c>
    </row>
    <row r="6" spans="2:3" x14ac:dyDescent="0.25">
      <c r="B6" s="4"/>
    </row>
    <row r="7" spans="2:3" x14ac:dyDescent="0.25">
      <c r="B7" s="4" t="s">
        <v>12</v>
      </c>
    </row>
    <row r="8" spans="2:3" x14ac:dyDescent="0.25">
      <c r="B8" s="4"/>
    </row>
    <row r="9" spans="2:3" x14ac:dyDescent="0.25">
      <c r="B9" s="4" t="s">
        <v>13</v>
      </c>
      <c r="C9" s="2" t="s">
        <v>37</v>
      </c>
    </row>
    <row r="10" spans="2:3" x14ac:dyDescent="0.25">
      <c r="B10" s="4" t="s">
        <v>14</v>
      </c>
      <c r="C10" s="2" t="s">
        <v>36</v>
      </c>
    </row>
    <row r="11" spans="2:3" x14ac:dyDescent="0.25">
      <c r="B11" s="4" t="s">
        <v>40</v>
      </c>
    </row>
    <row r="13" spans="2:3" x14ac:dyDescent="0.25">
      <c r="B13" s="4" t="s">
        <v>15</v>
      </c>
    </row>
    <row r="15" spans="2:3" x14ac:dyDescent="0.25">
      <c r="B15" s="4" t="s">
        <v>16</v>
      </c>
    </row>
    <row r="17" spans="2:2" x14ac:dyDescent="0.25">
      <c r="B17" t="s">
        <v>17</v>
      </c>
    </row>
    <row r="18" spans="2:2" x14ac:dyDescent="0.25">
      <c r="B18" t="s">
        <v>31</v>
      </c>
    </row>
    <row r="19" spans="2:2" x14ac:dyDescent="0.25">
      <c r="B19" t="s">
        <v>32</v>
      </c>
    </row>
    <row r="20" spans="2:2" x14ac:dyDescent="0.25">
      <c r="B20" t="s">
        <v>33</v>
      </c>
    </row>
    <row r="22" spans="2:2" x14ac:dyDescent="0.25">
      <c r="B22" t="s">
        <v>34</v>
      </c>
    </row>
    <row r="23" spans="2:2" x14ac:dyDescent="0.25">
      <c r="B23" t="s">
        <v>35</v>
      </c>
    </row>
  </sheetData>
  <hyperlinks>
    <hyperlink ref="C4" r:id="rId1" xr:uid="{CC2C12A9-C0BD-4D74-B46F-9623E5CEAD35}"/>
    <hyperlink ref="C5" r:id="rId2" xr:uid="{C0549806-58E8-4FD5-9AAA-7338C25F1531}"/>
    <hyperlink ref="C10" r:id="rId3" xr:uid="{2AC5E32D-FAB9-4415-9575-AA59F97D5AB2}"/>
    <hyperlink ref="C9" r:id="rId4" xr:uid="{48535722-CD9D-4FFE-A8C6-E20E80B949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Wheeler</dc:creator>
  <cp:lastModifiedBy>Andrew Wheeler</cp:lastModifiedBy>
  <dcterms:created xsi:type="dcterms:W3CDTF">2015-06-05T18:17:20Z</dcterms:created>
  <dcterms:modified xsi:type="dcterms:W3CDTF">2025-01-18T13:37:40Z</dcterms:modified>
</cp:coreProperties>
</file>