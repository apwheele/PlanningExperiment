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A1EDD649-12E5-4E50-B4C9-332EC376D9B3}" xr6:coauthVersionLast="47" xr6:coauthVersionMax="47" xr10:uidLastSave="{00000000-0000-0000-0000-000000000000}"/>
  <bookViews>
    <workbookView xWindow="-28920" yWindow="-120" windowWidth="29040" windowHeight="15840" activeTab="4" xr2:uid="{00000000-000D-0000-FFFF-FFFF00000000}"/>
  </bookViews>
  <sheets>
    <sheet name="WDD" sheetId="1" r:id="rId1"/>
    <sheet name="WDD_Temporal" sheetId="3" r:id="rId2"/>
    <sheet name="WDD_Area" sheetId="4" r:id="rId3"/>
    <sheet name="CombineWDD_HarmWeights" sheetId="5" r:id="rId4"/>
    <sheet name="CumulativeEffect" sheetId="6" r:id="rId5"/>
    <sheet name="PowerChart" sheetId="8" r:id="rId6"/>
    <sheet name="GraphExamples" sheetId="2" r:id="rId7"/>
    <sheet name="About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1" i="3"/>
  <c r="H2" i="1"/>
  <c r="O15" i="6"/>
  <c r="Q15" i="6" s="1"/>
  <c r="O14" i="6"/>
  <c r="Q14" i="6" s="1"/>
  <c r="Q13" i="6"/>
  <c r="O13" i="6"/>
  <c r="Q12" i="6"/>
  <c r="O12" i="6"/>
  <c r="O11" i="6"/>
  <c r="Q11" i="6" s="1"/>
  <c r="O10" i="6"/>
  <c r="Q10" i="6" s="1"/>
  <c r="Q9" i="6"/>
  <c r="O9" i="6"/>
  <c r="Q8" i="6"/>
  <c r="O8" i="6"/>
  <c r="O7" i="6"/>
  <c r="Q7" i="6" s="1"/>
  <c r="O6" i="6"/>
  <c r="Q6" i="6" s="1"/>
  <c r="Q5" i="6"/>
  <c r="O5" i="6"/>
  <c r="Q4" i="6"/>
  <c r="O4" i="6"/>
  <c r="O3" i="6"/>
  <c r="Q3" i="6" s="1"/>
  <c r="O2" i="6"/>
  <c r="Q2" i="6" s="1"/>
  <c r="R2" i="6" s="1"/>
  <c r="H2" i="6"/>
  <c r="F2" i="6"/>
  <c r="F3" i="6" s="1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E2" i="6"/>
  <c r="G2" i="6" s="1"/>
  <c r="P2" i="6" l="1"/>
  <c r="J2" i="6"/>
  <c r="I2" i="6"/>
  <c r="L2" i="6" s="1"/>
  <c r="R3" i="6"/>
  <c r="U2" i="6"/>
  <c r="E3" i="6"/>
  <c r="V2" i="6"/>
  <c r="G3" i="6" l="1"/>
  <c r="H3" i="6"/>
  <c r="U3" i="6"/>
  <c r="V3" i="6"/>
  <c r="E4" i="6"/>
  <c r="W2" i="6"/>
  <c r="Z2" i="6" s="1"/>
  <c r="Y2" i="6"/>
  <c r="AB2" i="6" s="1"/>
  <c r="X2" i="6"/>
  <c r="AA2" i="6" s="1"/>
  <c r="X3" i="6" l="1"/>
  <c r="AA3" i="6" s="1"/>
  <c r="Y3" i="6"/>
  <c r="AB3" i="6" s="1"/>
  <c r="W3" i="6"/>
  <c r="Z3" i="6" s="1"/>
  <c r="E5" i="6"/>
  <c r="U4" i="6"/>
  <c r="H4" i="6"/>
  <c r="G4" i="6"/>
  <c r="V4" i="6"/>
  <c r="R4" i="6"/>
  <c r="J3" i="6"/>
  <c r="P3" i="6"/>
  <c r="I3" i="6"/>
  <c r="L3" i="6" s="1"/>
  <c r="P4" i="6" l="1"/>
  <c r="I4" i="6"/>
  <c r="J4" i="6"/>
  <c r="Y4" i="6"/>
  <c r="AB4" i="6" s="1"/>
  <c r="X4" i="6"/>
  <c r="AA4" i="6" s="1"/>
  <c r="W4" i="6"/>
  <c r="Z4" i="6" s="1"/>
  <c r="V5" i="6"/>
  <c r="E6" i="6"/>
  <c r="U5" i="6"/>
  <c r="H5" i="6"/>
  <c r="G5" i="6"/>
  <c r="R5" i="6"/>
  <c r="Y5" i="6" l="1"/>
  <c r="AB5" i="6" s="1"/>
  <c r="X5" i="6"/>
  <c r="AA5" i="6" s="1"/>
  <c r="W5" i="6"/>
  <c r="Z5" i="6" s="1"/>
  <c r="G6" i="6"/>
  <c r="V6" i="6"/>
  <c r="E7" i="6"/>
  <c r="U6" i="6"/>
  <c r="H6" i="6"/>
  <c r="R6" i="6"/>
  <c r="P5" i="6"/>
  <c r="I5" i="6"/>
  <c r="J5" i="6"/>
  <c r="L4" i="6"/>
  <c r="J6" i="6" l="1"/>
  <c r="P6" i="6"/>
  <c r="I6" i="6"/>
  <c r="L6" i="6" s="1"/>
  <c r="L5" i="6"/>
  <c r="W6" i="6"/>
  <c r="Z6" i="6" s="1"/>
  <c r="X6" i="6"/>
  <c r="AA6" i="6" s="1"/>
  <c r="Y6" i="6"/>
  <c r="AB6" i="6" s="1"/>
  <c r="G7" i="6"/>
  <c r="U7" i="6"/>
  <c r="H7" i="6"/>
  <c r="V7" i="6"/>
  <c r="E8" i="6"/>
  <c r="R7" i="6"/>
  <c r="E9" i="6" l="1"/>
  <c r="U8" i="6"/>
  <c r="H8" i="6"/>
  <c r="G8" i="6"/>
  <c r="V8" i="6"/>
  <c r="R8" i="6"/>
  <c r="J7" i="6"/>
  <c r="P7" i="6"/>
  <c r="I7" i="6"/>
  <c r="X7" i="6"/>
  <c r="AA7" i="6" s="1"/>
  <c r="Y7" i="6"/>
  <c r="AB7" i="6" s="1"/>
  <c r="W7" i="6"/>
  <c r="Z7" i="6" s="1"/>
  <c r="I8" i="6" l="1"/>
  <c r="J8" i="6"/>
  <c r="P8" i="6"/>
  <c r="Y8" i="6"/>
  <c r="AB8" i="6" s="1"/>
  <c r="X8" i="6"/>
  <c r="AA8" i="6" s="1"/>
  <c r="W8" i="6"/>
  <c r="Z8" i="6" s="1"/>
  <c r="L7" i="6"/>
  <c r="V9" i="6"/>
  <c r="E10" i="6"/>
  <c r="U9" i="6"/>
  <c r="H9" i="6"/>
  <c r="G9" i="6"/>
  <c r="R9" i="6"/>
  <c r="P9" i="6" l="1"/>
  <c r="I9" i="6"/>
  <c r="J9" i="6"/>
  <c r="Y9" i="6"/>
  <c r="AB9" i="6" s="1"/>
  <c r="X9" i="6"/>
  <c r="AA9" i="6" s="1"/>
  <c r="W9" i="6"/>
  <c r="Z9" i="6" s="1"/>
  <c r="G10" i="6"/>
  <c r="V10" i="6"/>
  <c r="E11" i="6"/>
  <c r="U10" i="6"/>
  <c r="H10" i="6"/>
  <c r="R10" i="6"/>
  <c r="L8" i="6"/>
  <c r="G11" i="6" l="1"/>
  <c r="H11" i="6"/>
  <c r="V11" i="6"/>
  <c r="E12" i="6"/>
  <c r="U11" i="6"/>
  <c r="R11" i="6"/>
  <c r="J10" i="6"/>
  <c r="P10" i="6"/>
  <c r="I10" i="6"/>
  <c r="L10" i="6" s="1"/>
  <c r="W10" i="6"/>
  <c r="Z10" i="6" s="1"/>
  <c r="X10" i="6"/>
  <c r="AA10" i="6" s="1"/>
  <c r="Y10" i="6"/>
  <c r="AB10" i="6" s="1"/>
  <c r="L9" i="6"/>
  <c r="J11" i="6" l="1"/>
  <c r="P11" i="6"/>
  <c r="I11" i="6"/>
  <c r="X11" i="6"/>
  <c r="AA11" i="6" s="1"/>
  <c r="W11" i="6"/>
  <c r="Z11" i="6" s="1"/>
  <c r="Y11" i="6"/>
  <c r="AB11" i="6" s="1"/>
  <c r="E13" i="6"/>
  <c r="U12" i="6"/>
  <c r="H12" i="6"/>
  <c r="V12" i="6"/>
  <c r="G12" i="6"/>
  <c r="R12" i="6"/>
  <c r="V13" i="6" l="1"/>
  <c r="E14" i="6"/>
  <c r="U13" i="6"/>
  <c r="H13" i="6"/>
  <c r="G13" i="6"/>
  <c r="R13" i="6"/>
  <c r="Y12" i="6"/>
  <c r="AB12" i="6" s="1"/>
  <c r="X12" i="6"/>
  <c r="AA12" i="6" s="1"/>
  <c r="W12" i="6"/>
  <c r="Z12" i="6" s="1"/>
  <c r="I12" i="6"/>
  <c r="P12" i="6"/>
  <c r="J12" i="6"/>
  <c r="L11" i="6"/>
  <c r="Y13" i="6" l="1"/>
  <c r="AB13" i="6" s="1"/>
  <c r="X13" i="6"/>
  <c r="AA13" i="6" s="1"/>
  <c r="W13" i="6"/>
  <c r="Z13" i="6" s="1"/>
  <c r="L12" i="6"/>
  <c r="V14" i="6"/>
  <c r="G14" i="6"/>
  <c r="E15" i="6"/>
  <c r="U14" i="6"/>
  <c r="H14" i="6"/>
  <c r="R14" i="6"/>
  <c r="P13" i="6"/>
  <c r="I13" i="6"/>
  <c r="L13" i="6" s="1"/>
  <c r="J13" i="6"/>
  <c r="W14" i="6" l="1"/>
  <c r="Z14" i="6" s="1"/>
  <c r="Y14" i="6"/>
  <c r="AB14" i="6" s="1"/>
  <c r="X14" i="6"/>
  <c r="AA14" i="6" s="1"/>
  <c r="J14" i="6"/>
  <c r="P14" i="6"/>
  <c r="I14" i="6"/>
  <c r="G15" i="6"/>
  <c r="U15" i="6"/>
  <c r="V15" i="6"/>
  <c r="H15" i="6"/>
  <c r="R15" i="6"/>
  <c r="F2" i="4"/>
  <c r="F1" i="4"/>
  <c r="G7" i="4" l="1"/>
  <c r="F3" i="4"/>
  <c r="F4" i="4" s="1"/>
  <c r="J15" i="6"/>
  <c r="P15" i="6"/>
  <c r="I15" i="6"/>
  <c r="L15" i="6" s="1"/>
  <c r="L14" i="6"/>
  <c r="X15" i="6"/>
  <c r="AA15" i="6" s="1"/>
  <c r="Y15" i="6"/>
  <c r="AB15" i="6" s="1"/>
  <c r="W15" i="6"/>
  <c r="Z15" i="6" s="1"/>
  <c r="G7" i="3"/>
  <c r="F3" i="3"/>
  <c r="F4" i="3" s="1"/>
  <c r="F7" i="3"/>
  <c r="F7" i="4"/>
  <c r="M2" i="6" l="1"/>
  <c r="F6" i="5"/>
  <c r="E6" i="5"/>
  <c r="F5" i="5"/>
  <c r="E5" i="5"/>
  <c r="F4" i="5"/>
  <c r="E4" i="5"/>
  <c r="F3" i="5"/>
  <c r="C10" i="5" s="1"/>
  <c r="E3" i="5"/>
  <c r="F2" i="5"/>
  <c r="E2" i="5"/>
  <c r="C9" i="5" s="1"/>
  <c r="C14" i="5" l="1"/>
  <c r="C13" i="5"/>
  <c r="C11" i="5"/>
  <c r="G3" i="2" l="1"/>
  <c r="G4" i="2"/>
  <c r="G5" i="2"/>
  <c r="G6" i="2"/>
  <c r="G7" i="2"/>
  <c r="G8" i="2"/>
  <c r="G2" i="2"/>
  <c r="H3" i="1" l="1"/>
  <c r="I8" i="1" l="1"/>
  <c r="H8" i="1"/>
  <c r="H4" i="1"/>
  <c r="H5" i="1" s="1"/>
</calcChain>
</file>

<file path=xl/sharedStrings.xml><?xml version="1.0" encoding="utf-8"?>
<sst xmlns="http://schemas.openxmlformats.org/spreadsheetml/2006/main" count="135" uniqueCount="98">
  <si>
    <t>Area</t>
  </si>
  <si>
    <t>Treated</t>
  </si>
  <si>
    <t>Displacement</t>
  </si>
  <si>
    <t>Pre</t>
  </si>
  <si>
    <t>Post</t>
  </si>
  <si>
    <t>Weighted Displacement Difference</t>
  </si>
  <si>
    <t>Z_WDD</t>
  </si>
  <si>
    <t>95% Confidence Interval of WDD</t>
  </si>
  <si>
    <t>Low</t>
  </si>
  <si>
    <t>High</t>
  </si>
  <si>
    <t>Standard Error WDD</t>
  </si>
  <si>
    <t>one tailed p-value</t>
  </si>
  <si>
    <t>NOTES</t>
  </si>
  <si>
    <t>Spreadsheet to calculate the weighted displacement difference</t>
  </si>
  <si>
    <t>an alternative to the weighted displacement quotient that allows you to estimate a standard error</t>
  </si>
  <si>
    <t>around the intervention effect</t>
  </si>
  <si>
    <t>If you have a control area for the treatment group, can simply add in those crime counts</t>
  </si>
  <si>
    <t>into the control counts and the test will still work as normal</t>
  </si>
  <si>
    <t>If you do not have a displacement area, can simply enter in zeroes and the test will still work</t>
  </si>
  <si>
    <t>If you want to count your control area decrease for both treated and displacement areas, can simply</t>
  </si>
  <si>
    <t>multiply counts in control area by 2 and proceed with the test as usual.</t>
  </si>
  <si>
    <t>Control-Treated</t>
  </si>
  <si>
    <t>Control-Displacement</t>
  </si>
  <si>
    <t>Year</t>
  </si>
  <si>
    <t>Crime</t>
  </si>
  <si>
    <t>Intervention</t>
  </si>
  <si>
    <t>Control</t>
  </si>
  <si>
    <t>Hypothetical</t>
  </si>
  <si>
    <t>Bad_Series</t>
  </si>
  <si>
    <t>Time</t>
  </si>
  <si>
    <t># R code to simulate data</t>
  </si>
  <si>
    <t>set.seed(10)
sect &lt;- 4
periods &lt;- 10
base &lt;- c(40,45,50,30)
par &lt;- c(30,35,40,40)
l &lt;- rep(base,each=periods)
con &lt;- rep(par,each=periods)
t &lt;- 1:(sect*periods)
x &lt;- rpois(sect*periods,l)
y &lt;- rpois(sect*periods,con)
for (i in 1:length(x)){print(x[i])}
for (i in 1:length(y)){print(y[i])}</t>
  </si>
  <si>
    <t>Crime-Type</t>
  </si>
  <si>
    <t>WDD-Estimate</t>
  </si>
  <si>
    <t>SE</t>
  </si>
  <si>
    <t>Weight</t>
  </si>
  <si>
    <t>Harm Estimate</t>
  </si>
  <si>
    <t>Harm Variance</t>
  </si>
  <si>
    <t>Theft of Motor Vehicle</t>
  </si>
  <si>
    <t>Theft</t>
  </si>
  <si>
    <t>Burglary</t>
  </si>
  <si>
    <t>Robbery</t>
  </si>
  <si>
    <t>Assault</t>
  </si>
  <si>
    <t>Total Harm Estimate</t>
  </si>
  <si>
    <t>Total Harm SE</t>
  </si>
  <si>
    <t>Total Harm Z-Score</t>
  </si>
  <si>
    <t>Low CI 95%</t>
  </si>
  <si>
    <t>High CI 95%</t>
  </si>
  <si>
    <t>Example Calculating WDD incorporating different areas, so calculating effect as density per unit area</t>
  </si>
  <si>
    <t>Area Treated</t>
  </si>
  <si>
    <t>Area Weighted</t>
  </si>
  <si>
    <t>Area Control</t>
  </si>
  <si>
    <t>Area Displacement</t>
  </si>
  <si>
    <t>Area Control-Displacement</t>
  </si>
  <si>
    <t>Probably want to use per kilometer square or per mile square</t>
  </si>
  <si>
    <t>Pretend these are square miles</t>
  </si>
  <si>
    <t>Questions? Email Andy Wheeler, andrew.wheeler@crimede-coder.com</t>
  </si>
  <si>
    <t>Example Calculating WDD incorporating different temporal periods</t>
  </si>
  <si>
    <t>Pre-Time Period</t>
  </si>
  <si>
    <t>Post-Time Period</t>
  </si>
  <si>
    <t>Can use different units if you want (e.g. months, weeks, days)</t>
  </si>
  <si>
    <t>Final estimate is in the unit, so e.g. -10 per year</t>
  </si>
  <si>
    <t>See the paper for details, https://crimesciencejournal.biomedcentral.com/articles/10.1186/s40163-018-0085-5</t>
  </si>
  <si>
    <t>Month</t>
  </si>
  <si>
    <t>FocusArea</t>
  </si>
  <si>
    <t>ComparisonArea</t>
  </si>
  <si>
    <t>CumFocus</t>
  </si>
  <si>
    <t>CumCompar</t>
  </si>
  <si>
    <t>CumDif</t>
  </si>
  <si>
    <t>LowCI</t>
  </si>
  <si>
    <t>HighCI</t>
  </si>
  <si>
    <t>Horizontal0</t>
  </si>
  <si>
    <t>AdjustLow</t>
  </si>
  <si>
    <t>Title</t>
  </si>
  <si>
    <t>NumberMonths</t>
  </si>
  <si>
    <t>CumPerMonth</t>
  </si>
  <si>
    <t>InvSq</t>
  </si>
  <si>
    <t>SE_PerMonth</t>
  </si>
  <si>
    <t>LogIRR</t>
  </si>
  <si>
    <t>SE_LogIRR</t>
  </si>
  <si>
    <t>IRR</t>
  </si>
  <si>
    <t>CI_LowIRR</t>
  </si>
  <si>
    <t>CI_HighIRR</t>
  </si>
  <si>
    <t>Percent</t>
  </si>
  <si>
    <t>PercentLow</t>
  </si>
  <si>
    <t>PercentHigh</t>
  </si>
  <si>
    <t>These you fill in with data</t>
  </si>
  <si>
    <t>These are calculated cumulative totals</t>
  </si>
  <si>
    <t>These are normalized metrics per month</t>
  </si>
  <si>
    <t>If you really want a percent reduction, here it is</t>
  </si>
  <si>
    <t>based on Wilson's IRR estimator</t>
  </si>
  <si>
    <t>A negative percent means it increased</t>
  </si>
  <si>
    <t>Graph us cumulative area, with higher CI on top and low CI on bottom. Then has CumDifference as a second chart type.</t>
  </si>
  <si>
    <t>Created by Andrew Wheeler, PhD</t>
  </si>
  <si>
    <t>andrew.wheeler@crimede-coder.com</t>
  </si>
  <si>
    <t>Check out my consulting firm if you need help with quant analysis, developing custom software, or process automation</t>
  </si>
  <si>
    <t>https://crimede-coder.com/</t>
  </si>
  <si>
    <t>Pretend these are pre 5 years, and post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</si>
</sst>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/>
    <xf numFmtId="4" fontId="1" fillId="0" borderId="1" xfId="0" applyNumberFormat="1" applyFont="1" applyBorder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[1]Data!$M$2</c:f>
          <c:strCache>
            <c:ptCount val="1"/>
            <c:pt idx="0">
              <c:v>Total effect over time, -71 CI: -126 to -16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[1]Data!$J$1</c:f>
              <c:strCache>
                <c:ptCount val="1"/>
                <c:pt idx="0">
                  <c:v>HighCI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CumulativeEffect!$A$2:$A$15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[1]Data!$J$2:$J$15</c:f>
              <c:numCache>
                <c:formatCode>General</c:formatCode>
                <c:ptCount val="14"/>
                <c:pt idx="0">
                  <c:v>15</c:v>
                </c:pt>
                <c:pt idx="1">
                  <c:v>12.591260281974002</c:v>
                </c:pt>
                <c:pt idx="2">
                  <c:v>-3.4657093303925919</c:v>
                </c:pt>
                <c:pt idx="3">
                  <c:v>-7.6742434027696405</c:v>
                </c:pt>
                <c:pt idx="4">
                  <c:v>-2.3197307232636177</c:v>
                </c:pt>
                <c:pt idx="5">
                  <c:v>-6.6729565346886091</c:v>
                </c:pt>
                <c:pt idx="6">
                  <c:v>-8.7900536509144018</c:v>
                </c:pt>
                <c:pt idx="7">
                  <c:v>-17.963430942633615</c:v>
                </c:pt>
                <c:pt idx="8">
                  <c:v>-21.728112757642691</c:v>
                </c:pt>
                <c:pt idx="9">
                  <c:v>-19.181200357121497</c:v>
                </c:pt>
                <c:pt idx="10">
                  <c:v>-23.887883368765301</c:v>
                </c:pt>
                <c:pt idx="11">
                  <c:v>-20.541278678925572</c:v>
                </c:pt>
                <c:pt idx="12">
                  <c:v>-19.297113671609793</c:v>
                </c:pt>
                <c:pt idx="13">
                  <c:v>-15.538301504551811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8-428E-A343-97B42F116F43}"/>
            </c:ext>
          </c:extLst>
        </c:ser>
        <c:ser>
          <c:idx val="0"/>
          <c:order val="1"/>
          <c:tx>
            <c:strRef>
              <c:f>[1]Data!$I$1</c:f>
              <c:strCache>
                <c:ptCount val="1"/>
                <c:pt idx="0">
                  <c:v>LowCI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 w="25400">
              <a:noFill/>
            </a:ln>
            <a:effectLst/>
          </c:spPr>
          <c:cat>
            <c:numRef>
              <c:f>CumulativeEffect!$A$2:$A$15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[1]Data!$L$2:$L$15</c:f>
              <c:numCache>
                <c:formatCode>General</c:formatCode>
                <c:ptCount val="14"/>
                <c:pt idx="0">
                  <c:v>-28</c:v>
                </c:pt>
                <c:pt idx="1">
                  <c:v>-41.182520563948003</c:v>
                </c:pt>
                <c:pt idx="2">
                  <c:v>-51.068581339214816</c:v>
                </c:pt>
                <c:pt idx="3">
                  <c:v>-58.651513194460726</c:v>
                </c:pt>
                <c:pt idx="4">
                  <c:v>-65.360538553472765</c:v>
                </c:pt>
                <c:pt idx="5">
                  <c:v>-70.654086930622782</c:v>
                </c:pt>
                <c:pt idx="6">
                  <c:v>-76.419892698171196</c:v>
                </c:pt>
                <c:pt idx="7">
                  <c:v>-82.073138114732785</c:v>
                </c:pt>
                <c:pt idx="8">
                  <c:v>-88.543774484714618</c:v>
                </c:pt>
                <c:pt idx="9">
                  <c:v>-93.637599285757005</c:v>
                </c:pt>
                <c:pt idx="10">
                  <c:v>-98.224233262469397</c:v>
                </c:pt>
                <c:pt idx="11">
                  <c:v>-102.91744264214884</c:v>
                </c:pt>
                <c:pt idx="12">
                  <c:v>-107.40577265678041</c:v>
                </c:pt>
                <c:pt idx="13">
                  <c:v>-110.92339699089638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8-428E-A343-97B42F116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147568"/>
        <c:axId val="1728148048"/>
      </c:areaChart>
      <c:lineChart>
        <c:grouping val="standard"/>
        <c:varyColors val="0"/>
        <c:ser>
          <c:idx val="2"/>
          <c:order val="2"/>
          <c:tx>
            <c:strRef>
              <c:f>[1]Data!$G$1</c:f>
              <c:strCache>
                <c:ptCount val="1"/>
                <c:pt idx="0">
                  <c:v>CumDif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bg1"/>
                </a:solidFill>
              </a:ln>
              <a:effectLst/>
            </c:spPr>
          </c:marker>
          <c:val>
            <c:numRef>
              <c:f>[1]Data!$G$2:$G$15</c:f>
              <c:numCache>
                <c:formatCode>General</c:formatCode>
                <c:ptCount val="14"/>
                <c:pt idx="0">
                  <c:v>1</c:v>
                </c:pt>
                <c:pt idx="1">
                  <c:v>-8</c:v>
                </c:pt>
                <c:pt idx="2">
                  <c:v>-29</c:v>
                </c:pt>
                <c:pt idx="3">
                  <c:v>-37</c:v>
                </c:pt>
                <c:pt idx="4">
                  <c:v>-35</c:v>
                </c:pt>
                <c:pt idx="5">
                  <c:v>-42</c:v>
                </c:pt>
                <c:pt idx="6">
                  <c:v>-47</c:v>
                </c:pt>
                <c:pt idx="7">
                  <c:v>-59</c:v>
                </c:pt>
                <c:pt idx="8">
                  <c:v>-66</c:v>
                </c:pt>
                <c:pt idx="9">
                  <c:v>-66</c:v>
                </c:pt>
                <c:pt idx="10">
                  <c:v>-73</c:v>
                </c:pt>
                <c:pt idx="11">
                  <c:v>-72</c:v>
                </c:pt>
                <c:pt idx="12">
                  <c:v>-73</c:v>
                </c:pt>
                <c:pt idx="13">
                  <c:v>-71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8-428E-A343-97B42F116F43}"/>
            </c:ext>
          </c:extLst>
        </c:ser>
        <c:ser>
          <c:idx val="3"/>
          <c:order val="3"/>
          <c:tx>
            <c:v>HorizotalRule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[1]Data!$K$2:$K$15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8-428E-A343-97B42F116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147568"/>
        <c:axId val="1728148048"/>
      </c:lineChart>
      <c:dateAx>
        <c:axId val="1728147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28148048"/>
        <c:crossesAt val="-200"/>
        <c:auto val="1"/>
        <c:lblOffset val="100"/>
        <c:baseTimeUnit val="months"/>
      </c:dateAx>
      <c:valAx>
        <c:axId val="1728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92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2814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600">
                <a:latin typeface="Verdana" panose="020B0604030504040204" pitchFamily="34" charset="0"/>
                <a:ea typeface="Verdana" panose="020B0604030504040204" pitchFamily="34" charset="0"/>
              </a:rPr>
              <a:t>Showing Total Counts, Not Clear Cumulative</a:t>
            </a:r>
            <a:r>
              <a:rPr lang="en-US" sz="1600" baseline="0">
                <a:latin typeface="Verdana" panose="020B0604030504040204" pitchFamily="34" charset="0"/>
                <a:ea typeface="Verdana" panose="020B0604030504040204" pitchFamily="34" charset="0"/>
              </a:rPr>
              <a:t> Effect</a:t>
            </a:r>
            <a:endParaRPr lang="en-US" sz="16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[1]Data!$B$1</c:f>
              <c:strCache>
                <c:ptCount val="1"/>
                <c:pt idx="0">
                  <c:v>FocusArea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CumulativeEffect!$A$2:$A$15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[1]Data!$B$2:$B$15</c:f>
              <c:numCache>
                <c:formatCode>General</c:formatCode>
                <c:ptCount val="14"/>
                <c:pt idx="0">
                  <c:v>25</c:v>
                </c:pt>
                <c:pt idx="1">
                  <c:v>24</c:v>
                </c:pt>
                <c:pt idx="2">
                  <c:v>18</c:v>
                </c:pt>
                <c:pt idx="3">
                  <c:v>22</c:v>
                </c:pt>
                <c:pt idx="4">
                  <c:v>27</c:v>
                </c:pt>
                <c:pt idx="5">
                  <c:v>19</c:v>
                </c:pt>
                <c:pt idx="6">
                  <c:v>24</c:v>
                </c:pt>
                <c:pt idx="7">
                  <c:v>22</c:v>
                </c:pt>
                <c:pt idx="8">
                  <c:v>31</c:v>
                </c:pt>
                <c:pt idx="9">
                  <c:v>29</c:v>
                </c:pt>
                <c:pt idx="10">
                  <c:v>24</c:v>
                </c:pt>
                <c:pt idx="11">
                  <c:v>30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E-407E-9049-DADF44C97E65}"/>
            </c:ext>
          </c:extLst>
        </c:ser>
        <c:ser>
          <c:idx val="1"/>
          <c:order val="1"/>
          <c:tx>
            <c:strRef>
              <c:f>[1]Data!$C$1</c:f>
              <c:strCache>
                <c:ptCount val="1"/>
                <c:pt idx="0">
                  <c:v>ComparisonArea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CumulativeEffect!$A$2:$A$15</c:f>
              <c:numCache>
                <c:formatCode>[$-409]mmm\-yy;@</c:formatCode>
                <c:ptCount val="1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</c:numCache>
            </c:numRef>
          </c:cat>
          <c:val>
            <c:numRef>
              <c:f>[1]Data!$C$2:$C$15</c:f>
              <c:numCache>
                <c:formatCode>General</c:formatCode>
                <c:ptCount val="14"/>
                <c:pt idx="0">
                  <c:v>24</c:v>
                </c:pt>
                <c:pt idx="1">
                  <c:v>33</c:v>
                </c:pt>
                <c:pt idx="2">
                  <c:v>39</c:v>
                </c:pt>
                <c:pt idx="3">
                  <c:v>30</c:v>
                </c:pt>
                <c:pt idx="4">
                  <c:v>25</c:v>
                </c:pt>
                <c:pt idx="5">
                  <c:v>26</c:v>
                </c:pt>
                <c:pt idx="6">
                  <c:v>29</c:v>
                </c:pt>
                <c:pt idx="7">
                  <c:v>34</c:v>
                </c:pt>
                <c:pt idx="8">
                  <c:v>38</c:v>
                </c:pt>
                <c:pt idx="9">
                  <c:v>29</c:v>
                </c:pt>
                <c:pt idx="10">
                  <c:v>31</c:v>
                </c:pt>
                <c:pt idx="11">
                  <c:v>29</c:v>
                </c:pt>
                <c:pt idx="12">
                  <c:v>30</c:v>
                </c:pt>
                <c:pt idx="1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E-407E-9049-DADF44C97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339616"/>
        <c:axId val="2058350176"/>
      </c:lineChart>
      <c:dateAx>
        <c:axId val="205833961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58350176"/>
        <c:crosses val="autoZero"/>
        <c:auto val="1"/>
        <c:lblOffset val="100"/>
        <c:baseTimeUnit val="months"/>
      </c:dateAx>
      <c:valAx>
        <c:axId val="20583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5833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GraphExamples!$B$1</c:f>
              <c:strCache>
                <c:ptCount val="1"/>
                <c:pt idx="0">
                  <c:v>Crime</c:v>
                </c:pt>
              </c:strCache>
            </c:strRef>
          </c:tx>
          <c:spPr>
            <a:ln w="34925"/>
          </c:spPr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GraphExamples!$B$2:$B$8</c:f>
              <c:numCache>
                <c:formatCode>General</c:formatCode>
                <c:ptCount val="7"/>
                <c:pt idx="0">
                  <c:v>200</c:v>
                </c:pt>
                <c:pt idx="1">
                  <c:v>180</c:v>
                </c:pt>
                <c:pt idx="2">
                  <c:v>160</c:v>
                </c:pt>
                <c:pt idx="3">
                  <c:v>140</c:v>
                </c:pt>
                <c:pt idx="4">
                  <c:v>120</c:v>
                </c:pt>
                <c:pt idx="5">
                  <c:v>100</c:v>
                </c:pt>
                <c:pt idx="6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15-4037-8D85-4601F7397789}"/>
            </c:ext>
          </c:extLst>
        </c:ser>
        <c:ser>
          <c:idx val="5"/>
          <c:order val="1"/>
          <c:spPr>
            <a:ln w="31750">
              <a:solidFill>
                <a:schemeClr val="tx1"/>
              </a:solidFill>
            </a:ln>
          </c:spPr>
          <c:xVal>
            <c:numRef>
              <c:f>GraphExamples!$A$12:$A$13</c:f>
              <c:numCache>
                <c:formatCode>General</c:formatCode>
                <c:ptCount val="2"/>
                <c:pt idx="0">
                  <c:v>17.5</c:v>
                </c:pt>
                <c:pt idx="1">
                  <c:v>17.5</c:v>
                </c:pt>
              </c:numCache>
            </c:numRef>
          </c:xVal>
          <c:yVal>
            <c:numRef>
              <c:f>GraphExamples!$B$12:$B$13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15-4037-8D85-4601F7397789}"/>
            </c:ext>
          </c:extLst>
        </c:ser>
        <c:ser>
          <c:idx val="6"/>
          <c:order val="2"/>
          <c:tx>
            <c:strRef>
              <c:f>GraphExamples!$C$1</c:f>
              <c:strCache>
                <c:ptCount val="1"/>
                <c:pt idx="0">
                  <c:v>Control</c:v>
                </c:pt>
              </c:strCache>
            </c:strRef>
          </c:tx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GraphExamples!$C$2:$C$8</c:f>
              <c:numCache>
                <c:formatCode>General</c:formatCode>
                <c:ptCount val="7"/>
                <c:pt idx="0">
                  <c:v>220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140</c:v>
                </c:pt>
                <c:pt idx="5">
                  <c:v>120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15-4037-8D85-4601F7397789}"/>
            </c:ext>
          </c:extLst>
        </c:ser>
        <c:ser>
          <c:idx val="7"/>
          <c:order val="3"/>
          <c:tx>
            <c:strRef>
              <c:f>GraphExamples!$D$1</c:f>
              <c:strCache>
                <c:ptCount val="1"/>
                <c:pt idx="0">
                  <c:v>Hypothetical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xVal>
            <c:numRef>
              <c:f>GraphExamples!$A$7:$A$8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xVal>
          <c:yVal>
            <c:numRef>
              <c:f>GraphExamples!$D$7:$D$8</c:f>
              <c:numCache>
                <c:formatCode>General</c:formatCode>
                <c:ptCount val="2"/>
                <c:pt idx="0">
                  <c:v>100</c:v>
                </c:pt>
                <c:pt idx="1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F15-4037-8D85-4601F7397789}"/>
            </c:ext>
          </c:extLst>
        </c:ser>
        <c:ser>
          <c:idx val="0"/>
          <c:order val="4"/>
          <c:tx>
            <c:strRef>
              <c:f>GraphExamples!$B$1</c:f>
              <c:strCache>
                <c:ptCount val="1"/>
                <c:pt idx="0">
                  <c:v>Crime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3975">
                <a:solidFill>
                  <a:schemeClr val="accent1"/>
                </a:solidFill>
              </a:ln>
              <a:effectLst/>
            </c:spPr>
          </c:marker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GraphExamples!$B$2:$B$8</c:f>
              <c:numCache>
                <c:formatCode>General</c:formatCode>
                <c:ptCount val="7"/>
                <c:pt idx="0">
                  <c:v>200</c:v>
                </c:pt>
                <c:pt idx="1">
                  <c:v>180</c:v>
                </c:pt>
                <c:pt idx="2">
                  <c:v>160</c:v>
                </c:pt>
                <c:pt idx="3">
                  <c:v>140</c:v>
                </c:pt>
                <c:pt idx="4">
                  <c:v>120</c:v>
                </c:pt>
                <c:pt idx="5">
                  <c:v>100</c:v>
                </c:pt>
                <c:pt idx="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15-4037-8D85-4601F7397789}"/>
            </c:ext>
          </c:extLst>
        </c:ser>
        <c:ser>
          <c:idx val="1"/>
          <c:order val="5"/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GraphExamples!$A$12:$A$13</c:f>
              <c:numCache>
                <c:formatCode>General</c:formatCode>
                <c:ptCount val="2"/>
                <c:pt idx="0">
                  <c:v>17.5</c:v>
                </c:pt>
                <c:pt idx="1">
                  <c:v>17.5</c:v>
                </c:pt>
              </c:numCache>
            </c:numRef>
          </c:xVal>
          <c:yVal>
            <c:numRef>
              <c:f>GraphExamples!$B$12:$B$13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15-4037-8D85-4601F7397789}"/>
            </c:ext>
          </c:extLst>
        </c:ser>
        <c:ser>
          <c:idx val="2"/>
          <c:order val="6"/>
          <c:tx>
            <c:strRef>
              <c:f>GraphExamples!$C$1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GraphExamples!$C$2:$C$8</c:f>
              <c:numCache>
                <c:formatCode>General</c:formatCode>
                <c:ptCount val="7"/>
                <c:pt idx="0">
                  <c:v>220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140</c:v>
                </c:pt>
                <c:pt idx="5">
                  <c:v>120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15-4037-8D85-4601F7397789}"/>
            </c:ext>
          </c:extLst>
        </c:ser>
        <c:ser>
          <c:idx val="3"/>
          <c:order val="7"/>
          <c:tx>
            <c:strRef>
              <c:f>GraphExamples!$D$1</c:f>
              <c:strCache>
                <c:ptCount val="1"/>
                <c:pt idx="0">
                  <c:v>Hypothetical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GraphExamples!$A$7:$A$8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xVal>
          <c:yVal>
            <c:numRef>
              <c:f>GraphExamples!$D$7:$D$8</c:f>
              <c:numCache>
                <c:formatCode>General</c:formatCode>
                <c:ptCount val="2"/>
                <c:pt idx="0">
                  <c:v>100</c:v>
                </c:pt>
                <c:pt idx="1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15-4037-8D85-4601F739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157152"/>
        <c:axId val="1692160480"/>
      </c:scatterChart>
      <c:valAx>
        <c:axId val="1692157152"/>
        <c:scaling>
          <c:orientation val="minMax"/>
          <c:max val="18"/>
          <c:min val="1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60480"/>
        <c:crosses val="autoZero"/>
        <c:crossBetween val="midCat"/>
      </c:valAx>
      <c:valAx>
        <c:axId val="1692160480"/>
        <c:scaling>
          <c:orientation val="minMax"/>
          <c:max val="220"/>
          <c:min val="6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57152"/>
        <c:crosses val="autoZero"/>
        <c:crossBetween val="midCat"/>
        <c:majorUnit val="2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GraphExamples!$B$1</c:f>
              <c:strCache>
                <c:ptCount val="1"/>
                <c:pt idx="0">
                  <c:v>Crime</c:v>
                </c:pt>
              </c:strCache>
            </c:strRef>
          </c:tx>
          <c:spPr>
            <a:ln w="34925"/>
          </c:spPr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GraphExamples!$B$2:$B$8</c:f>
              <c:numCache>
                <c:formatCode>General</c:formatCode>
                <c:ptCount val="7"/>
                <c:pt idx="0">
                  <c:v>200</c:v>
                </c:pt>
                <c:pt idx="1">
                  <c:v>180</c:v>
                </c:pt>
                <c:pt idx="2">
                  <c:v>160</c:v>
                </c:pt>
                <c:pt idx="3">
                  <c:v>140</c:v>
                </c:pt>
                <c:pt idx="4">
                  <c:v>120</c:v>
                </c:pt>
                <c:pt idx="5">
                  <c:v>100</c:v>
                </c:pt>
                <c:pt idx="6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E-44D4-B664-1E4BD7721FED}"/>
            </c:ext>
          </c:extLst>
        </c:ser>
        <c:ser>
          <c:idx val="2"/>
          <c:order val="1"/>
          <c:tx>
            <c:strRef>
              <c:f>GraphExamples!$C$1</c:f>
              <c:strCache>
                <c:ptCount val="1"/>
                <c:pt idx="0">
                  <c:v>Control</c:v>
                </c:pt>
              </c:strCache>
            </c:strRef>
          </c:tx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GraphExamples!$C$2:$C$8</c:f>
              <c:numCache>
                <c:formatCode>General</c:formatCode>
                <c:ptCount val="7"/>
                <c:pt idx="0">
                  <c:v>220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140</c:v>
                </c:pt>
                <c:pt idx="5">
                  <c:v>120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8E-44D4-B664-1E4BD7721FED}"/>
            </c:ext>
          </c:extLst>
        </c:ser>
        <c:ser>
          <c:idx val="0"/>
          <c:order val="2"/>
          <c:tx>
            <c:strRef>
              <c:f>GraphExamples!$E$1</c:f>
              <c:strCache>
                <c:ptCount val="1"/>
                <c:pt idx="0">
                  <c:v>Bad_Series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GraphExamples!$A$2:$A$8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GraphExamples!$E$2:$E$8</c:f>
              <c:numCache>
                <c:formatCode>General</c:formatCode>
                <c:ptCount val="7"/>
                <c:pt idx="0">
                  <c:v>165</c:v>
                </c:pt>
                <c:pt idx="1">
                  <c:v>205</c:v>
                </c:pt>
                <c:pt idx="2">
                  <c:v>165</c:v>
                </c:pt>
                <c:pt idx="3">
                  <c:v>205</c:v>
                </c:pt>
                <c:pt idx="4">
                  <c:v>165</c:v>
                </c:pt>
                <c:pt idx="5">
                  <c:v>205</c:v>
                </c:pt>
                <c:pt idx="6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98E-44D4-B664-1E4BD7721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157152"/>
        <c:axId val="1692160480"/>
      </c:scatterChart>
      <c:valAx>
        <c:axId val="1692157152"/>
        <c:scaling>
          <c:orientation val="minMax"/>
          <c:max val="18"/>
          <c:min val="1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60480"/>
        <c:crosses val="autoZero"/>
        <c:crossBetween val="midCat"/>
      </c:valAx>
      <c:valAx>
        <c:axId val="1692160480"/>
        <c:scaling>
          <c:orientation val="minMax"/>
          <c:max val="220"/>
          <c:min val="6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57152"/>
        <c:crosses val="autoZero"/>
        <c:crossBetween val="midCat"/>
        <c:majorUnit val="2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2"/>
          <c:tx>
            <c:strRef>
              <c:f>GraphExamples!$L$1</c:f>
              <c:strCache>
                <c:ptCount val="1"/>
                <c:pt idx="0">
                  <c:v>Intervention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GraphExamples!$L$2:$L$41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A9-4A4B-A68E-F9E75288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17483888"/>
        <c:axId val="617484848"/>
      </c:barChart>
      <c:lineChart>
        <c:grouping val="standard"/>
        <c:varyColors val="0"/>
        <c:ser>
          <c:idx val="1"/>
          <c:order val="0"/>
          <c:tx>
            <c:strRef>
              <c:f>GraphExamples!$J$1</c:f>
              <c:strCache>
                <c:ptCount val="1"/>
                <c:pt idx="0">
                  <c:v>Treated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GraphExamples!$J$2:$J$41</c:f>
              <c:numCache>
                <c:formatCode>General</c:formatCode>
                <c:ptCount val="40"/>
                <c:pt idx="0">
                  <c:v>40</c:v>
                </c:pt>
                <c:pt idx="1">
                  <c:v>38</c:v>
                </c:pt>
                <c:pt idx="2">
                  <c:v>31</c:v>
                </c:pt>
                <c:pt idx="3">
                  <c:v>36</c:v>
                </c:pt>
                <c:pt idx="4">
                  <c:v>42</c:v>
                </c:pt>
                <c:pt idx="5">
                  <c:v>32</c:v>
                </c:pt>
                <c:pt idx="6">
                  <c:v>38</c:v>
                </c:pt>
                <c:pt idx="7">
                  <c:v>36</c:v>
                </c:pt>
                <c:pt idx="8">
                  <c:v>46</c:v>
                </c:pt>
                <c:pt idx="9">
                  <c:v>44</c:v>
                </c:pt>
                <c:pt idx="10">
                  <c:v>43</c:v>
                </c:pt>
                <c:pt idx="11">
                  <c:v>51</c:v>
                </c:pt>
                <c:pt idx="12">
                  <c:v>49</c:v>
                </c:pt>
                <c:pt idx="13">
                  <c:v>45</c:v>
                </c:pt>
                <c:pt idx="14">
                  <c:v>38</c:v>
                </c:pt>
                <c:pt idx="15">
                  <c:v>49</c:v>
                </c:pt>
                <c:pt idx="16">
                  <c:v>56</c:v>
                </c:pt>
                <c:pt idx="17">
                  <c:v>45</c:v>
                </c:pt>
                <c:pt idx="18">
                  <c:v>40</c:v>
                </c:pt>
                <c:pt idx="19">
                  <c:v>40</c:v>
                </c:pt>
                <c:pt idx="20">
                  <c:v>49</c:v>
                </c:pt>
                <c:pt idx="21">
                  <c:v>55</c:v>
                </c:pt>
                <c:pt idx="22">
                  <c:v>60</c:v>
                </c:pt>
                <c:pt idx="23">
                  <c:v>49</c:v>
                </c:pt>
                <c:pt idx="24">
                  <c:v>51</c:v>
                </c:pt>
                <c:pt idx="25">
                  <c:v>49</c:v>
                </c:pt>
                <c:pt idx="26">
                  <c:v>50</c:v>
                </c:pt>
                <c:pt idx="27">
                  <c:v>41</c:v>
                </c:pt>
                <c:pt idx="28">
                  <c:v>56</c:v>
                </c:pt>
                <c:pt idx="29">
                  <c:v>51</c:v>
                </c:pt>
                <c:pt idx="30">
                  <c:v>40</c:v>
                </c:pt>
                <c:pt idx="31">
                  <c:v>30</c:v>
                </c:pt>
                <c:pt idx="32">
                  <c:v>30</c:v>
                </c:pt>
                <c:pt idx="33">
                  <c:v>39</c:v>
                </c:pt>
                <c:pt idx="34">
                  <c:v>25</c:v>
                </c:pt>
                <c:pt idx="35">
                  <c:v>25</c:v>
                </c:pt>
                <c:pt idx="36">
                  <c:v>34</c:v>
                </c:pt>
                <c:pt idx="37">
                  <c:v>35</c:v>
                </c:pt>
                <c:pt idx="38">
                  <c:v>30</c:v>
                </c:pt>
                <c:pt idx="3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9-4A4B-A68E-F9E75288A2B0}"/>
            </c:ext>
          </c:extLst>
        </c:ser>
        <c:ser>
          <c:idx val="2"/>
          <c:order val="1"/>
          <c:tx>
            <c:strRef>
              <c:f>GraphExamples!$K$1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GraphExamples!$K$2:$K$41</c:f>
              <c:numCache>
                <c:formatCode>General</c:formatCode>
                <c:ptCount val="40"/>
                <c:pt idx="0">
                  <c:v>37</c:v>
                </c:pt>
                <c:pt idx="1">
                  <c:v>41</c:v>
                </c:pt>
                <c:pt idx="2">
                  <c:v>32</c:v>
                </c:pt>
                <c:pt idx="3">
                  <c:v>34</c:v>
                </c:pt>
                <c:pt idx="4">
                  <c:v>25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27</c:v>
                </c:pt>
                <c:pt idx="9">
                  <c:v>25</c:v>
                </c:pt>
                <c:pt idx="10">
                  <c:v>32</c:v>
                </c:pt>
                <c:pt idx="11">
                  <c:v>42</c:v>
                </c:pt>
                <c:pt idx="12">
                  <c:v>39</c:v>
                </c:pt>
                <c:pt idx="13">
                  <c:v>32</c:v>
                </c:pt>
                <c:pt idx="14">
                  <c:v>41</c:v>
                </c:pt>
                <c:pt idx="15">
                  <c:v>35</c:v>
                </c:pt>
                <c:pt idx="16">
                  <c:v>30</c:v>
                </c:pt>
                <c:pt idx="17">
                  <c:v>28</c:v>
                </c:pt>
                <c:pt idx="18">
                  <c:v>36</c:v>
                </c:pt>
                <c:pt idx="19">
                  <c:v>42</c:v>
                </c:pt>
                <c:pt idx="20">
                  <c:v>34</c:v>
                </c:pt>
                <c:pt idx="21">
                  <c:v>37</c:v>
                </c:pt>
                <c:pt idx="22">
                  <c:v>36</c:v>
                </c:pt>
                <c:pt idx="23">
                  <c:v>43</c:v>
                </c:pt>
                <c:pt idx="24">
                  <c:v>38</c:v>
                </c:pt>
                <c:pt idx="25">
                  <c:v>44</c:v>
                </c:pt>
                <c:pt idx="26">
                  <c:v>44</c:v>
                </c:pt>
                <c:pt idx="27">
                  <c:v>42</c:v>
                </c:pt>
                <c:pt idx="28">
                  <c:v>41</c:v>
                </c:pt>
                <c:pt idx="29">
                  <c:v>44</c:v>
                </c:pt>
                <c:pt idx="30">
                  <c:v>54</c:v>
                </c:pt>
                <c:pt idx="31">
                  <c:v>32</c:v>
                </c:pt>
                <c:pt idx="32">
                  <c:v>37</c:v>
                </c:pt>
                <c:pt idx="33">
                  <c:v>38</c:v>
                </c:pt>
                <c:pt idx="34">
                  <c:v>40</c:v>
                </c:pt>
                <c:pt idx="35">
                  <c:v>47</c:v>
                </c:pt>
                <c:pt idx="36">
                  <c:v>43</c:v>
                </c:pt>
                <c:pt idx="37">
                  <c:v>51</c:v>
                </c:pt>
                <c:pt idx="38">
                  <c:v>39</c:v>
                </c:pt>
                <c:pt idx="3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9-4A4B-A68E-F9E75288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483888"/>
        <c:axId val="617484848"/>
      </c:lineChart>
      <c:catAx>
        <c:axId val="617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84848"/>
        <c:crosses val="autoZero"/>
        <c:auto val="1"/>
        <c:lblAlgn val="ctr"/>
        <c:lblOffset val="100"/>
        <c:noMultiLvlLbl val="0"/>
      </c:catAx>
      <c:valAx>
        <c:axId val="617484848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466397</xdr:colOff>
      <xdr:row>18</xdr:row>
      <xdr:rowOff>175392</xdr:rowOff>
    </xdr:from>
    <xdr:to>
      <xdr:col>9</xdr:col>
      <xdr:colOff>545224</xdr:colOff>
      <xdr:row>38</xdr:row>
      <xdr:rowOff>64194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1B75B-0B34-4D82-A895-2F2EC3AFD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472965</xdr:colOff>
      <xdr:row>38</xdr:row>
      <xdr:rowOff>71253</xdr:rowOff>
    </xdr:from>
    <xdr:to>
      <xdr:col>9</xdr:col>
      <xdr:colOff>551793</xdr:colOff>
      <xdr:row>57</xdr:row>
      <xdr:rowOff>126602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9E50A-45E2-4EB7-8427-DCEAE74EA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57150</xdr:rowOff>
    </xdr:from>
    <xdr:to>
      <xdr:col>14</xdr:col>
      <xdr:colOff>95981</xdr:colOff>
      <xdr:row>32</xdr:row>
      <xdr:rowOff>51358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12F0CA-6869-0E38-4A82-C6BA95579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47650"/>
          <a:ext cx="7877906" cy="58997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4</xdr:row>
      <xdr:rowOff>57150</xdr:rowOff>
    </xdr:from>
    <xdr:to>
      <xdr:col>25</xdr:col>
      <xdr:colOff>95250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352425</xdr:colOff>
      <xdr:row>12</xdr:row>
      <xdr:rowOff>47625</xdr:rowOff>
    </xdr:from>
    <xdr:to>
      <xdr:col>35</xdr:col>
      <xdr:colOff>28575</xdr:colOff>
      <xdr:row>34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171449</xdr:colOff>
      <xdr:row>1</xdr:row>
      <xdr:rowOff>38101</xdr:rowOff>
    </xdr:from>
    <xdr:to>
      <xdr:col>23</xdr:col>
      <xdr:colOff>314325</xdr:colOff>
      <xdr:row>23</xdr:row>
      <xdr:rowOff>180976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D7FDE2-F766-BDD4-9506-58ABB91C2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13</xdr:col>
      <xdr:colOff>457200</xdr:colOff>
      <xdr:row>29</xdr:row>
      <xdr:rowOff>111439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48820-246C-D637-42B4-95338D9B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524000"/>
          <a:ext cx="7772400" cy="41119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GSU\OneDrive%20-%20Georgia%20State%20University\Desktop\ExampleCompstat.xlsx" TargetMode="External"/><Relationship Id="rId1" Type="http://schemas.openxmlformats.org/officeDocument/2006/relationships/externalLinkPath" Target="/OneDriveGSU/OneDrive%20-%20Georgia%20State%20University/Desktop/ExampleComp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Notes"/>
    </sheetNames>
    <sheetDataSet>
      <sheetData sheetId="0">
        <row r="1">
          <cell r="B1" t="str">
            <v>FocusArea</v>
          </cell>
          <cell r="C1" t="str">
            <v>ComparisonArea</v>
          </cell>
          <cell r="G1" t="str">
            <v>CumDif</v>
          </cell>
          <cell r="I1" t="str">
            <v>LowCI</v>
          </cell>
          <cell r="J1" t="str">
            <v>HighCI</v>
          </cell>
        </row>
        <row r="2">
          <cell r="B2">
            <v>25</v>
          </cell>
          <cell r="C2">
            <v>24</v>
          </cell>
          <cell r="G2">
            <v>1</v>
          </cell>
          <cell r="J2">
            <v>15</v>
          </cell>
          <cell r="K2">
            <v>0</v>
          </cell>
          <cell r="L2">
            <v>-28</v>
          </cell>
          <cell r="M2" t="str">
            <v>Total effect over time, -71 CI: -126 to -16</v>
          </cell>
        </row>
        <row r="3">
          <cell r="B3">
            <v>24</v>
          </cell>
          <cell r="C3">
            <v>33</v>
          </cell>
          <cell r="G3">
            <v>-8</v>
          </cell>
          <cell r="J3">
            <v>12.591260281974002</v>
          </cell>
          <cell r="K3">
            <v>0</v>
          </cell>
          <cell r="L3">
            <v>-41.182520563948003</v>
          </cell>
        </row>
        <row r="4">
          <cell r="B4">
            <v>18</v>
          </cell>
          <cell r="C4">
            <v>39</v>
          </cell>
          <cell r="G4">
            <v>-29</v>
          </cell>
          <cell r="J4">
            <v>-3.4657093303925919</v>
          </cell>
          <cell r="K4">
            <v>0</v>
          </cell>
          <cell r="L4">
            <v>-51.068581339214816</v>
          </cell>
        </row>
        <row r="5">
          <cell r="B5">
            <v>22</v>
          </cell>
          <cell r="C5">
            <v>30</v>
          </cell>
          <cell r="G5">
            <v>-37</v>
          </cell>
          <cell r="J5">
            <v>-7.6742434027696405</v>
          </cell>
          <cell r="K5">
            <v>0</v>
          </cell>
          <cell r="L5">
            <v>-58.651513194460726</v>
          </cell>
        </row>
        <row r="6">
          <cell r="B6">
            <v>27</v>
          </cell>
          <cell r="C6">
            <v>25</v>
          </cell>
          <cell r="G6">
            <v>-35</v>
          </cell>
          <cell r="J6">
            <v>-2.3197307232636177</v>
          </cell>
          <cell r="K6">
            <v>0</v>
          </cell>
          <cell r="L6">
            <v>-65.360538553472765</v>
          </cell>
        </row>
        <row r="7">
          <cell r="B7">
            <v>19</v>
          </cell>
          <cell r="C7">
            <v>26</v>
          </cell>
          <cell r="G7">
            <v>-42</v>
          </cell>
          <cell r="J7">
            <v>-6.6729565346886091</v>
          </cell>
          <cell r="K7">
            <v>0</v>
          </cell>
          <cell r="L7">
            <v>-70.654086930622782</v>
          </cell>
        </row>
        <row r="8">
          <cell r="B8">
            <v>24</v>
          </cell>
          <cell r="C8">
            <v>29</v>
          </cell>
          <cell r="G8">
            <v>-47</v>
          </cell>
          <cell r="J8">
            <v>-8.7900536509144018</v>
          </cell>
          <cell r="K8">
            <v>0</v>
          </cell>
          <cell r="L8">
            <v>-76.419892698171196</v>
          </cell>
        </row>
        <row r="9">
          <cell r="B9">
            <v>22</v>
          </cell>
          <cell r="C9">
            <v>34</v>
          </cell>
          <cell r="G9">
            <v>-59</v>
          </cell>
          <cell r="J9">
            <v>-17.963430942633615</v>
          </cell>
          <cell r="K9">
            <v>0</v>
          </cell>
          <cell r="L9">
            <v>-82.073138114732785</v>
          </cell>
        </row>
        <row r="10">
          <cell r="B10">
            <v>31</v>
          </cell>
          <cell r="C10">
            <v>38</v>
          </cell>
          <cell r="G10">
            <v>-66</v>
          </cell>
          <cell r="J10">
            <v>-21.728112757642691</v>
          </cell>
          <cell r="K10">
            <v>0</v>
          </cell>
          <cell r="L10">
            <v>-88.543774484714618</v>
          </cell>
        </row>
        <row r="11">
          <cell r="B11">
            <v>29</v>
          </cell>
          <cell r="C11">
            <v>29</v>
          </cell>
          <cell r="G11">
            <v>-66</v>
          </cell>
          <cell r="J11">
            <v>-19.181200357121497</v>
          </cell>
          <cell r="K11">
            <v>0</v>
          </cell>
          <cell r="L11">
            <v>-93.637599285757005</v>
          </cell>
        </row>
        <row r="12">
          <cell r="B12">
            <v>24</v>
          </cell>
          <cell r="C12">
            <v>31</v>
          </cell>
          <cell r="G12">
            <v>-73</v>
          </cell>
          <cell r="J12">
            <v>-23.887883368765301</v>
          </cell>
          <cell r="K12">
            <v>0</v>
          </cell>
          <cell r="L12">
            <v>-98.224233262469397</v>
          </cell>
        </row>
        <row r="13">
          <cell r="B13">
            <v>30</v>
          </cell>
          <cell r="C13">
            <v>29</v>
          </cell>
          <cell r="G13">
            <v>-72</v>
          </cell>
          <cell r="J13">
            <v>-20.541278678925572</v>
          </cell>
          <cell r="K13">
            <v>0</v>
          </cell>
          <cell r="L13">
            <v>-102.91744264214884</v>
          </cell>
        </row>
        <row r="14">
          <cell r="B14">
            <v>29</v>
          </cell>
          <cell r="C14">
            <v>30</v>
          </cell>
          <cell r="G14">
            <v>-73</v>
          </cell>
          <cell r="J14">
            <v>-19.297113671609793</v>
          </cell>
          <cell r="K14">
            <v>0</v>
          </cell>
          <cell r="L14">
            <v>-107.40577265678041</v>
          </cell>
        </row>
        <row r="15">
          <cell r="B15">
            <v>25</v>
          </cell>
          <cell r="C15">
            <v>23</v>
          </cell>
          <cell r="G15">
            <v>-71</v>
          </cell>
          <cell r="J15">
            <v>-15.538301504551811</v>
          </cell>
          <cell r="K15">
            <v>0</v>
          </cell>
          <cell r="L15">
            <v>-110.92339699089638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crimede-coder.com/" TargetMode="External"/><Relationship Id="rId1" Type="http://schemas.openxmlformats.org/officeDocument/2006/relationships/hyperlink" Target="mailto:andrew.wheeler@crimede-co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6"/>
  <sheetViews>
    <sheetView zoomScale="115" zoomScaleNormal="115" workbookViewId="0">
      <selection activeCell="H3" sqref="H3"/>
    </sheetView>
  </sheetViews>
  <sheetFormatPr defaultRowHeight="15" x14ac:dyDescent="0.25"/>
  <cols>
    <col min="3" max="3" width="20.7109375" bestFit="1" customWidth="1"/>
    <col min="7" max="7" width="32.85546875" bestFit="1" customWidth="1"/>
  </cols>
  <sheetData>
    <row r="2" spans="3:14" x14ac:dyDescent="0.25">
      <c r="C2" s="1" t="s">
        <v>0</v>
      </c>
      <c r="D2" s="3" t="s">
        <v>3</v>
      </c>
      <c r="E2" s="3" t="s">
        <v>4</v>
      </c>
      <c r="G2" s="1" t="s">
        <v>5</v>
      </c>
      <c r="H2">
        <f>(E3-D3) - (E4-D4) + (E5-D5) - (E6-D6)</f>
        <v>-15</v>
      </c>
      <c r="L2" t="s">
        <v>12</v>
      </c>
      <c r="N2" t="s">
        <v>13</v>
      </c>
    </row>
    <row r="3" spans="3:14" x14ac:dyDescent="0.25">
      <c r="C3" s="2" t="s">
        <v>1</v>
      </c>
      <c r="D3">
        <v>80</v>
      </c>
      <c r="E3">
        <v>85</v>
      </c>
      <c r="G3" s="1" t="s">
        <v>10</v>
      </c>
      <c r="H3">
        <f>SQRT(SUM(D3:D6) + SUM(E3:E6))</f>
        <v>18.574175621006709</v>
      </c>
      <c r="N3" t="s">
        <v>14</v>
      </c>
    </row>
    <row r="4" spans="3:14" x14ac:dyDescent="0.25">
      <c r="C4" s="2" t="s">
        <v>21</v>
      </c>
      <c r="D4">
        <v>80</v>
      </c>
      <c r="E4">
        <v>100</v>
      </c>
      <c r="G4" s="1" t="s">
        <v>6</v>
      </c>
      <c r="H4">
        <f>H2/H3</f>
        <v>-0.80757285308724824</v>
      </c>
      <c r="N4" t="s">
        <v>15</v>
      </c>
    </row>
    <row r="5" spans="3:14" x14ac:dyDescent="0.25">
      <c r="C5" s="2" t="s">
        <v>2</v>
      </c>
      <c r="D5">
        <v>0</v>
      </c>
      <c r="E5">
        <v>0</v>
      </c>
      <c r="G5" s="1" t="s">
        <v>11</v>
      </c>
      <c r="H5">
        <f>_xlfn.NORM.S.DIST(H4,TRUE)</f>
        <v>0.20966825979188641</v>
      </c>
    </row>
    <row r="6" spans="3:14" x14ac:dyDescent="0.25">
      <c r="C6" s="2" t="s">
        <v>22</v>
      </c>
      <c r="D6">
        <v>0</v>
      </c>
      <c r="E6">
        <v>0</v>
      </c>
      <c r="N6" t="s">
        <v>16</v>
      </c>
    </row>
    <row r="7" spans="3:14" x14ac:dyDescent="0.25">
      <c r="C7" s="2"/>
      <c r="H7" s="2" t="s">
        <v>8</v>
      </c>
      <c r="I7" s="2" t="s">
        <v>9</v>
      </c>
      <c r="N7" t="s">
        <v>17</v>
      </c>
    </row>
    <row r="8" spans="3:14" x14ac:dyDescent="0.25">
      <c r="C8" s="2"/>
      <c r="G8" s="1" t="s">
        <v>7</v>
      </c>
      <c r="H8">
        <f>H2 - _xlfn.NORM.S.INV(0.975)*H3</f>
        <v>-51.404715259695038</v>
      </c>
      <c r="I8">
        <f>H2 + _xlfn.NORM.S.INV(0.975)*H3</f>
        <v>21.404715259695038</v>
      </c>
    </row>
    <row r="9" spans="3:14" x14ac:dyDescent="0.25">
      <c r="N9" t="s">
        <v>18</v>
      </c>
    </row>
    <row r="11" spans="3:14" x14ac:dyDescent="0.25">
      <c r="N11" t="s">
        <v>19</v>
      </c>
    </row>
    <row r="12" spans="3:14" x14ac:dyDescent="0.25">
      <c r="N12" t="s">
        <v>20</v>
      </c>
    </row>
    <row r="14" spans="3:14" x14ac:dyDescent="0.25">
      <c r="N14" t="s">
        <v>62</v>
      </c>
    </row>
    <row r="16" spans="3:14" x14ac:dyDescent="0.25">
      <c r="N16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D1B1-986D-4020-9D9D-C5CDA081B44A}">
  <dimension ref="A1:L15"/>
  <sheetViews>
    <sheetView zoomScale="145" zoomScaleNormal="145" workbookViewId="0">
      <selection activeCell="B4" sqref="B4"/>
    </sheetView>
  </sheetViews>
  <sheetFormatPr defaultRowHeight="15" x14ac:dyDescent="0.25"/>
  <cols>
    <col min="1" max="1" width="28.5703125" customWidth="1"/>
    <col min="5" max="5" width="33" bestFit="1" customWidth="1"/>
    <col min="6" max="6" width="12.7109375" bestFit="1" customWidth="1"/>
  </cols>
  <sheetData>
    <row r="1" spans="1:12" x14ac:dyDescent="0.25">
      <c r="A1" s="1" t="s">
        <v>0</v>
      </c>
      <c r="B1" s="3" t="s">
        <v>3</v>
      </c>
      <c r="C1" s="3" t="s">
        <v>4</v>
      </c>
      <c r="E1" s="1" t="s">
        <v>5</v>
      </c>
      <c r="F1">
        <f>(C2/B9 - B2/B8) - (C3/B9 - B3/B8) + (C4/B9-B4/B8) - (C5/B9-B5/B8)</f>
        <v>-0.83333333333333304</v>
      </c>
      <c r="J1" t="s">
        <v>12</v>
      </c>
      <c r="L1" t="s">
        <v>57</v>
      </c>
    </row>
    <row r="2" spans="1:12" x14ac:dyDescent="0.25">
      <c r="A2" s="2" t="s">
        <v>1</v>
      </c>
      <c r="B2">
        <v>500</v>
      </c>
      <c r="C2">
        <v>80</v>
      </c>
      <c r="E2" s="1" t="s">
        <v>10</v>
      </c>
      <c r="F2" s="4">
        <f>SQRT(C2/B9^2 + B2/B8^2 + C3/B9^2 + B3/B8^2 + C4/B9^2 + B4/B8^2 + C5/B9^2 + B5/B8^2)</f>
        <v>1.2076147288491199</v>
      </c>
    </row>
    <row r="3" spans="1:12" x14ac:dyDescent="0.25">
      <c r="A3" s="2" t="s">
        <v>21</v>
      </c>
      <c r="B3">
        <v>500</v>
      </c>
      <c r="C3">
        <v>90</v>
      </c>
      <c r="E3" s="1" t="s">
        <v>6</v>
      </c>
      <c r="F3">
        <f>F1/F2</f>
        <v>-0.69006555934235392</v>
      </c>
      <c r="L3" t="s">
        <v>56</v>
      </c>
    </row>
    <row r="4" spans="1:12" x14ac:dyDescent="0.25">
      <c r="A4" s="2" t="s">
        <v>2</v>
      </c>
      <c r="B4">
        <v>0</v>
      </c>
      <c r="C4">
        <v>0</v>
      </c>
      <c r="E4" s="1" t="s">
        <v>11</v>
      </c>
      <c r="F4">
        <f>_xlfn.NORM.S.DIST(F3,TRUE)</f>
        <v>0.24507648020791251</v>
      </c>
    </row>
    <row r="5" spans="1:12" x14ac:dyDescent="0.25">
      <c r="A5" s="2" t="s">
        <v>22</v>
      </c>
      <c r="B5">
        <v>0</v>
      </c>
      <c r="C5">
        <v>0</v>
      </c>
    </row>
    <row r="6" spans="1:12" x14ac:dyDescent="0.25">
      <c r="A6" s="2"/>
      <c r="F6" s="2" t="s">
        <v>8</v>
      </c>
      <c r="G6" s="2" t="s">
        <v>9</v>
      </c>
    </row>
    <row r="7" spans="1:12" x14ac:dyDescent="0.25">
      <c r="A7" s="2"/>
      <c r="E7" s="1" t="s">
        <v>7</v>
      </c>
      <c r="F7">
        <f>F1 - _xlfn.NORM.S.INV(0.975)*F2</f>
        <v>-3.2002147090777107</v>
      </c>
      <c r="G7">
        <f>F1 + _xlfn.NORM.S.INV(0.975)*F2</f>
        <v>1.5335480424110446</v>
      </c>
    </row>
    <row r="8" spans="1:12" x14ac:dyDescent="0.25">
      <c r="A8" s="2" t="s">
        <v>58</v>
      </c>
      <c r="B8">
        <v>60</v>
      </c>
      <c r="E8" s="1" t="s">
        <v>50</v>
      </c>
    </row>
    <row r="9" spans="1:12" x14ac:dyDescent="0.25">
      <c r="A9" s="2" t="s">
        <v>59</v>
      </c>
      <c r="B9">
        <v>12</v>
      </c>
    </row>
    <row r="10" spans="1:12" x14ac:dyDescent="0.25">
      <c r="A10" s="2"/>
    </row>
    <row r="11" spans="1:12" x14ac:dyDescent="0.25">
      <c r="A11" s="2"/>
    </row>
    <row r="13" spans="1:12" x14ac:dyDescent="0.25">
      <c r="A13" s="2" t="s">
        <v>97</v>
      </c>
    </row>
    <row r="14" spans="1:12" x14ac:dyDescent="0.25">
      <c r="A14" s="2" t="s">
        <v>60</v>
      </c>
    </row>
    <row r="15" spans="1:12" x14ac:dyDescent="0.25">
      <c r="A15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88B6-1122-4B85-9F4F-98D11720955A}">
  <dimension ref="A1:L14"/>
  <sheetViews>
    <sheetView zoomScale="115" zoomScaleNormal="115" workbookViewId="0">
      <selection activeCell="E11" sqref="E11"/>
    </sheetView>
  </sheetViews>
  <sheetFormatPr defaultRowHeight="15" x14ac:dyDescent="0.25"/>
  <cols>
    <col min="1" max="1" width="56" bestFit="1" customWidth="1"/>
    <col min="5" max="5" width="33" bestFit="1" customWidth="1"/>
  </cols>
  <sheetData>
    <row r="1" spans="1:12" x14ac:dyDescent="0.25">
      <c r="A1" s="1" t="s">
        <v>0</v>
      </c>
      <c r="B1" s="3" t="s">
        <v>3</v>
      </c>
      <c r="C1" s="3" t="s">
        <v>4</v>
      </c>
      <c r="E1" s="1" t="s">
        <v>5</v>
      </c>
      <c r="F1">
        <f>(C2-B2)/B8 - (C3-B3)/B9 + (C4-B4)/B10 - (C5-B5)/B11</f>
        <v>-99.694444444444457</v>
      </c>
      <c r="J1" t="s">
        <v>12</v>
      </c>
      <c r="L1" t="s">
        <v>48</v>
      </c>
    </row>
    <row r="2" spans="1:12" x14ac:dyDescent="0.25">
      <c r="A2" s="2" t="s">
        <v>1</v>
      </c>
      <c r="B2">
        <v>207</v>
      </c>
      <c r="C2">
        <v>110</v>
      </c>
      <c r="E2" s="1" t="s">
        <v>10</v>
      </c>
      <c r="F2" s="4">
        <f>SQRT(B2/(B8^2) + C2/(B8^2) + B3/(B9^2) + C3/(B9^2) + B4/(B10^2) + C4/(B10^2) + B5/(B11^2) + C5/(B11^2))</f>
        <v>35.42807550447268</v>
      </c>
    </row>
    <row r="3" spans="1:12" x14ac:dyDescent="0.25">
      <c r="A3" s="2" t="s">
        <v>21</v>
      </c>
      <c r="B3">
        <v>308</v>
      </c>
      <c r="C3">
        <v>318</v>
      </c>
      <c r="E3" s="1" t="s">
        <v>6</v>
      </c>
      <c r="F3">
        <f>F1/F2</f>
        <v>-2.8139954830980969</v>
      </c>
      <c r="L3" t="s">
        <v>56</v>
      </c>
    </row>
    <row r="4" spans="1:12" x14ac:dyDescent="0.25">
      <c r="A4" s="2" t="s">
        <v>2</v>
      </c>
      <c r="B4">
        <v>178</v>
      </c>
      <c r="C4">
        <v>157</v>
      </c>
      <c r="E4" s="1" t="s">
        <v>11</v>
      </c>
      <c r="F4">
        <f>_xlfn.NORM.S.DIST(F3,TRUE)</f>
        <v>2.4464957942190472E-3</v>
      </c>
    </row>
    <row r="5" spans="1:12" x14ac:dyDescent="0.25">
      <c r="A5" s="2" t="s">
        <v>22</v>
      </c>
      <c r="B5">
        <v>150</v>
      </c>
      <c r="C5">
        <v>140</v>
      </c>
    </row>
    <row r="6" spans="1:12" x14ac:dyDescent="0.25">
      <c r="A6" s="2"/>
      <c r="F6" s="2" t="s">
        <v>8</v>
      </c>
      <c r="G6" s="2" t="s">
        <v>9</v>
      </c>
    </row>
    <row r="7" spans="1:12" x14ac:dyDescent="0.25">
      <c r="A7" s="2"/>
      <c r="E7" s="1" t="s">
        <v>7</v>
      </c>
      <c r="F7">
        <f>F1 - _xlfn.NORM.S.INV(0.975)*F2</f>
        <v>-169.13219647477661</v>
      </c>
      <c r="G7">
        <f>F1 + _xlfn.NORM.S.INV(0.975)*F2</f>
        <v>-30.256692414112308</v>
      </c>
    </row>
    <row r="8" spans="1:12" x14ac:dyDescent="0.25">
      <c r="A8" s="2" t="s">
        <v>49</v>
      </c>
      <c r="B8">
        <v>1.2</v>
      </c>
      <c r="E8" s="1" t="s">
        <v>50</v>
      </c>
    </row>
    <row r="9" spans="1:12" x14ac:dyDescent="0.25">
      <c r="A9" s="2" t="s">
        <v>51</v>
      </c>
      <c r="B9">
        <v>0.9</v>
      </c>
    </row>
    <row r="10" spans="1:12" x14ac:dyDescent="0.25">
      <c r="A10" s="2" t="s">
        <v>52</v>
      </c>
      <c r="B10">
        <v>1.5</v>
      </c>
    </row>
    <row r="11" spans="1:12" x14ac:dyDescent="0.25">
      <c r="A11" s="2" t="s">
        <v>53</v>
      </c>
      <c r="B11">
        <v>1.6</v>
      </c>
    </row>
    <row r="13" spans="1:12" x14ac:dyDescent="0.25">
      <c r="A13" s="2" t="s">
        <v>54</v>
      </c>
    </row>
    <row r="14" spans="1:12" x14ac:dyDescent="0.25">
      <c r="A14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047E-E3D8-4A8E-A1B2-9536C28FAB5D}">
  <dimension ref="A1:F14"/>
  <sheetViews>
    <sheetView zoomScale="160" zoomScaleNormal="160" workbookViewId="0">
      <selection activeCell="E8" sqref="E8"/>
    </sheetView>
  </sheetViews>
  <sheetFormatPr defaultRowHeight="15" x14ac:dyDescent="0.25"/>
  <cols>
    <col min="1" max="1" width="21.42578125" bestFit="1" customWidth="1"/>
    <col min="2" max="2" width="19" bestFit="1" customWidth="1"/>
  </cols>
  <sheetData>
    <row r="1" spans="1:6" x14ac:dyDescent="0.25">
      <c r="A1" s="5" t="s">
        <v>32</v>
      </c>
      <c r="B1" s="5" t="s">
        <v>33</v>
      </c>
      <c r="C1" s="6" t="s">
        <v>34</v>
      </c>
      <c r="D1" s="5" t="s">
        <v>35</v>
      </c>
      <c r="E1" s="5" t="s">
        <v>36</v>
      </c>
      <c r="F1" s="6" t="s">
        <v>37</v>
      </c>
    </row>
    <row r="2" spans="1:6" x14ac:dyDescent="0.25">
      <c r="A2" t="s">
        <v>38</v>
      </c>
      <c r="B2">
        <v>-14</v>
      </c>
      <c r="C2" s="7">
        <v>20.688160865577203</v>
      </c>
      <c r="D2">
        <v>3</v>
      </c>
      <c r="E2">
        <f>B2*D2</f>
        <v>-42</v>
      </c>
      <c r="F2" s="7">
        <f>(C2^2)*(D2^2)</f>
        <v>3852.0000000000005</v>
      </c>
    </row>
    <row r="3" spans="1:6" x14ac:dyDescent="0.25">
      <c r="A3" t="s">
        <v>39</v>
      </c>
      <c r="B3">
        <v>-42</v>
      </c>
      <c r="C3" s="7">
        <v>34.957116585897069</v>
      </c>
      <c r="D3">
        <v>2</v>
      </c>
      <c r="E3">
        <f t="shared" ref="E3:E6" si="0">B3*D3</f>
        <v>-84</v>
      </c>
      <c r="F3" s="7">
        <f t="shared" ref="F3:F6" si="1">(C3^2)*(D3^2)</f>
        <v>4888</v>
      </c>
    </row>
    <row r="4" spans="1:6" x14ac:dyDescent="0.25">
      <c r="A4" t="s">
        <v>40</v>
      </c>
      <c r="B4">
        <v>-157</v>
      </c>
      <c r="C4" s="7">
        <v>28.861739379323623</v>
      </c>
      <c r="D4">
        <v>5</v>
      </c>
      <c r="E4">
        <f t="shared" si="0"/>
        <v>-785</v>
      </c>
      <c r="F4" s="7">
        <f t="shared" si="1"/>
        <v>20825</v>
      </c>
    </row>
    <row r="5" spans="1:6" x14ac:dyDescent="0.25">
      <c r="A5" t="s">
        <v>41</v>
      </c>
      <c r="B5">
        <v>-30</v>
      </c>
      <c r="C5" s="7">
        <v>19.646882704388499</v>
      </c>
      <c r="D5">
        <v>7</v>
      </c>
      <c r="E5">
        <f t="shared" si="0"/>
        <v>-210</v>
      </c>
      <c r="F5" s="7">
        <f t="shared" si="1"/>
        <v>18913.999999999996</v>
      </c>
    </row>
    <row r="6" spans="1:6" x14ac:dyDescent="0.25">
      <c r="A6" s="8" t="s">
        <v>42</v>
      </c>
      <c r="B6" s="8">
        <v>-60</v>
      </c>
      <c r="C6" s="9">
        <v>20.976176963403027</v>
      </c>
      <c r="D6" s="8">
        <v>10</v>
      </c>
      <c r="E6" s="8">
        <f t="shared" si="0"/>
        <v>-600</v>
      </c>
      <c r="F6" s="9">
        <f t="shared" si="1"/>
        <v>43999.999999999985</v>
      </c>
    </row>
    <row r="7" spans="1:6" x14ac:dyDescent="0.25">
      <c r="C7" s="7"/>
      <c r="F7" s="7"/>
    </row>
    <row r="8" spans="1:6" x14ac:dyDescent="0.25">
      <c r="C8" s="7"/>
      <c r="F8" s="7"/>
    </row>
    <row r="9" spans="1:6" x14ac:dyDescent="0.25">
      <c r="B9" t="s">
        <v>43</v>
      </c>
      <c r="C9" s="7">
        <f>SUM(E:E)</f>
        <v>-1721</v>
      </c>
      <c r="F9" s="7"/>
    </row>
    <row r="10" spans="1:6" x14ac:dyDescent="0.25">
      <c r="B10" t="s">
        <v>44</v>
      </c>
      <c r="C10" s="7">
        <f>SQRT(SUM(F:F))</f>
        <v>304.10360076789618</v>
      </c>
      <c r="F10" s="7"/>
    </row>
    <row r="11" spans="1:6" x14ac:dyDescent="0.25">
      <c r="B11" t="s">
        <v>45</v>
      </c>
      <c r="C11" s="7">
        <f>C9/C10</f>
        <v>-5.6592555815001182</v>
      </c>
      <c r="F11" s="7"/>
    </row>
    <row r="12" spans="1:6" x14ac:dyDescent="0.25">
      <c r="C12" s="7"/>
      <c r="F12" s="7"/>
    </row>
    <row r="13" spans="1:6" x14ac:dyDescent="0.25">
      <c r="B13" t="s">
        <v>46</v>
      </c>
      <c r="C13" s="7">
        <f>C9 - _xlfn.NORM.S.INV(0.975)*C10</f>
        <v>-2317.0321050740235</v>
      </c>
      <c r="F13" s="7"/>
    </row>
    <row r="14" spans="1:6" x14ac:dyDescent="0.25">
      <c r="B14" t="s">
        <v>47</v>
      </c>
      <c r="C14" s="7">
        <f>C9 + _xlfn.NORM.S.INV(0.975)*C10</f>
        <v>-1124.9678949259765</v>
      </c>
      <c r="F1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1646-5A73-481B-9E0E-FD8558CBB0A2}">
  <dimension ref="A1:AB23"/>
  <sheetViews>
    <sheetView tabSelected="1" zoomScale="85" zoomScaleNormal="85" workbookViewId="0">
      <selection activeCell="M40" sqref="M40"/>
    </sheetView>
  </sheetViews>
  <sheetFormatPr defaultRowHeight="15" x14ac:dyDescent="0.25"/>
  <cols>
    <col min="1" max="1" width="9.140625" style="10"/>
    <col min="2" max="2" width="12" bestFit="1" customWidth="1"/>
    <col min="3" max="3" width="15.85546875" bestFit="1" customWidth="1"/>
    <col min="4" max="4" width="15.85546875" customWidth="1"/>
    <col min="5" max="5" width="10.42578125" bestFit="1" customWidth="1"/>
    <col min="6" max="6" width="14.5703125" bestFit="1" customWidth="1"/>
    <col min="9" max="10" width="9.140625" style="11"/>
    <col min="16" max="17" width="15.85546875" customWidth="1"/>
    <col min="18" max="18" width="12.5703125" customWidth="1"/>
    <col min="24" max="24" width="10.140625" bestFit="1" customWidth="1"/>
    <col min="25" max="25" width="10.5703125" bestFit="1" customWidth="1"/>
    <col min="26" max="28" width="9.140625" style="12"/>
  </cols>
  <sheetData>
    <row r="1" spans="1:28" x14ac:dyDescent="0.25">
      <c r="A1" s="10" t="s">
        <v>63</v>
      </c>
      <c r="B1" t="s">
        <v>64</v>
      </c>
      <c r="C1" t="s">
        <v>65</v>
      </c>
      <c r="E1" t="s">
        <v>66</v>
      </c>
      <c r="F1" t="s">
        <v>67</v>
      </c>
      <c r="G1" t="s">
        <v>68</v>
      </c>
      <c r="H1" t="s">
        <v>34</v>
      </c>
      <c r="I1" s="11" t="s">
        <v>69</v>
      </c>
      <c r="J1" s="11" t="s">
        <v>70</v>
      </c>
      <c r="K1" t="s">
        <v>71</v>
      </c>
      <c r="L1" t="s">
        <v>72</v>
      </c>
      <c r="M1" t="s">
        <v>73</v>
      </c>
      <c r="O1" t="s">
        <v>74</v>
      </c>
      <c r="P1" t="s">
        <v>75</v>
      </c>
      <c r="Q1" t="s">
        <v>76</v>
      </c>
      <c r="R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s="12" t="s">
        <v>83</v>
      </c>
      <c r="AA1" s="12" t="s">
        <v>84</v>
      </c>
      <c r="AB1" s="12" t="s">
        <v>85</v>
      </c>
    </row>
    <row r="2" spans="1:28" x14ac:dyDescent="0.25">
      <c r="A2" s="10">
        <v>44927</v>
      </c>
      <c r="B2">
        <v>25</v>
      </c>
      <c r="C2">
        <v>24</v>
      </c>
      <c r="E2">
        <f>B2</f>
        <v>25</v>
      </c>
      <c r="F2">
        <f>C2</f>
        <v>24</v>
      </c>
      <c r="G2">
        <f>E2-F2</f>
        <v>1</v>
      </c>
      <c r="H2">
        <f>SQRT(E2 +F2)</f>
        <v>7</v>
      </c>
      <c r="I2" s="11">
        <f>G2- 2*H2</f>
        <v>-13</v>
      </c>
      <c r="J2" s="11">
        <f>G2 + 2*H2</f>
        <v>15</v>
      </c>
      <c r="K2">
        <v>0</v>
      </c>
      <c r="L2" s="11">
        <f>I2-J2</f>
        <v>-28</v>
      </c>
      <c r="M2" t="str">
        <f>CONCATENATE("Total effect over time, ",G15," CI: ",ROUND(I15,0)," to ",ROUND(J15,0))</f>
        <v>Total effect over time, -71 CI: -126 to -16</v>
      </c>
      <c r="O2">
        <f>ROW()-1</f>
        <v>1</v>
      </c>
      <c r="P2">
        <f>G2/O2</f>
        <v>1</v>
      </c>
      <c r="Q2">
        <f>(1/O2)^2</f>
        <v>1</v>
      </c>
      <c r="R2">
        <f>SQRT(Q2*E2 + Q2*F2)</f>
        <v>7</v>
      </c>
      <c r="U2">
        <f>LN(E2/F2)</f>
        <v>4.08219945202552E-2</v>
      </c>
      <c r="V2">
        <f>SQRT(1/E2 + 1/F2)</f>
        <v>0.28577380332470409</v>
      </c>
      <c r="W2">
        <f>EXP(U2)</f>
        <v>1.0416666666666667</v>
      </c>
      <c r="X2">
        <f>EXP(U2 - 2*V2)</f>
        <v>0.58817802568967781</v>
      </c>
      <c r="Y2">
        <f>EXP(U2 + 2*V2)</f>
        <v>1.8447976582806345</v>
      </c>
      <c r="Z2" s="12">
        <f>1-W2</f>
        <v>-4.1666666666666741E-2</v>
      </c>
      <c r="AA2" s="12">
        <f>1-X2</f>
        <v>0.41182197431032219</v>
      </c>
      <c r="AB2" s="12">
        <f>1-Y2</f>
        <v>-0.84479765828063447</v>
      </c>
    </row>
    <row r="3" spans="1:28" x14ac:dyDescent="0.25">
      <c r="A3" s="10">
        <v>44958</v>
      </c>
      <c r="B3">
        <v>24</v>
      </c>
      <c r="C3">
        <v>33</v>
      </c>
      <c r="E3">
        <f>B3+E2</f>
        <v>49</v>
      </c>
      <c r="F3">
        <f>F2+C3</f>
        <v>57</v>
      </c>
      <c r="G3">
        <f t="shared" ref="G3:G15" si="0">E3-F3</f>
        <v>-8</v>
      </c>
      <c r="H3">
        <f t="shared" ref="H3:H15" si="1">SQRT(E3 +F3)</f>
        <v>10.295630140987001</v>
      </c>
      <c r="I3" s="11">
        <f t="shared" ref="I3:I15" si="2">G3- 2*H3</f>
        <v>-28.591260281974002</v>
      </c>
      <c r="J3" s="11">
        <f t="shared" ref="J3:J15" si="3">G3 + 2*H3</f>
        <v>12.591260281974002</v>
      </c>
      <c r="K3">
        <v>0</v>
      </c>
      <c r="L3" s="11">
        <f t="shared" ref="L3:L15" si="4">I3-J3</f>
        <v>-41.182520563948003</v>
      </c>
      <c r="O3">
        <f t="shared" ref="O3:O15" si="5">ROW()-1</f>
        <v>2</v>
      </c>
      <c r="P3">
        <f t="shared" ref="P3:P15" si="6">G3/O3</f>
        <v>-4</v>
      </c>
      <c r="Q3">
        <f t="shared" ref="Q3:Q15" si="7">(1/O3)^2</f>
        <v>0.25</v>
      </c>
      <c r="R3">
        <f t="shared" ref="R3:R15" si="8">SQRT(Q3*E3 + Q3*F3)</f>
        <v>5.1478150704935004</v>
      </c>
      <c r="U3">
        <f t="shared" ref="U3:U15" si="9">LN(E3/F3)</f>
        <v>-0.15123096972392353</v>
      </c>
      <c r="V3">
        <f t="shared" ref="V3:V15" si="10">SQRT(1/E3 + 1/F3)</f>
        <v>0.19481278940159172</v>
      </c>
      <c r="W3">
        <f t="shared" ref="W3:W15" si="11">EXP(U3)</f>
        <v>0.85964912280701755</v>
      </c>
      <c r="X3">
        <f t="shared" ref="X3:X15" si="12">EXP(U3 - 2*V3)</f>
        <v>0.58224931392974422</v>
      </c>
      <c r="Y3">
        <f t="shared" ref="Y3:Y15" si="13">EXP(U3 + 2*V3)</f>
        <v>1.2692099357837012</v>
      </c>
      <c r="Z3" s="12">
        <f t="shared" ref="Z3:AB15" si="14">1-W3</f>
        <v>0.14035087719298245</v>
      </c>
      <c r="AA3" s="12">
        <f t="shared" si="14"/>
        <v>0.41775068607025578</v>
      </c>
      <c r="AB3" s="12">
        <f t="shared" si="14"/>
        <v>-0.26920993578370123</v>
      </c>
    </row>
    <row r="4" spans="1:28" x14ac:dyDescent="0.25">
      <c r="A4" s="10">
        <v>44986</v>
      </c>
      <c r="B4">
        <v>18</v>
      </c>
      <c r="C4">
        <v>39</v>
      </c>
      <c r="E4">
        <f t="shared" ref="E4:E15" si="15">B4+E3</f>
        <v>67</v>
      </c>
      <c r="F4">
        <f t="shared" ref="F4:F15" si="16">F3+C4</f>
        <v>96</v>
      </c>
      <c r="G4">
        <f t="shared" si="0"/>
        <v>-29</v>
      </c>
      <c r="H4">
        <f t="shared" si="1"/>
        <v>12.767145334803704</v>
      </c>
      <c r="I4" s="11">
        <f t="shared" si="2"/>
        <v>-54.534290669607408</v>
      </c>
      <c r="J4" s="11">
        <f t="shared" si="3"/>
        <v>-3.4657093303925919</v>
      </c>
      <c r="K4">
        <v>0</v>
      </c>
      <c r="L4" s="11">
        <f t="shared" si="4"/>
        <v>-51.068581339214816</v>
      </c>
      <c r="O4">
        <f t="shared" si="5"/>
        <v>3</v>
      </c>
      <c r="P4">
        <f t="shared" si="6"/>
        <v>-9.6666666666666661</v>
      </c>
      <c r="Q4">
        <f t="shared" si="7"/>
        <v>0.1111111111111111</v>
      </c>
      <c r="R4">
        <f t="shared" si="8"/>
        <v>4.2557151116012353</v>
      </c>
      <c r="U4">
        <f t="shared" si="9"/>
        <v>-0.35965557207687021</v>
      </c>
      <c r="V4">
        <f t="shared" si="10"/>
        <v>0.15919183333637132</v>
      </c>
      <c r="W4">
        <f t="shared" si="11"/>
        <v>0.69791666666666663</v>
      </c>
      <c r="X4">
        <f t="shared" si="12"/>
        <v>0.50761132183579005</v>
      </c>
      <c r="Y4">
        <f t="shared" si="13"/>
        <v>0.95956818269841837</v>
      </c>
      <c r="Z4" s="12">
        <f t="shared" si="14"/>
        <v>0.30208333333333337</v>
      </c>
      <c r="AA4" s="12">
        <f t="shared" si="14"/>
        <v>0.49238867816420995</v>
      </c>
      <c r="AB4" s="12">
        <f t="shared" si="14"/>
        <v>4.043181730158163E-2</v>
      </c>
    </row>
    <row r="5" spans="1:28" x14ac:dyDescent="0.25">
      <c r="A5" s="10">
        <v>45017</v>
      </c>
      <c r="B5">
        <v>22</v>
      </c>
      <c r="C5">
        <v>30</v>
      </c>
      <c r="E5">
        <f t="shared" si="15"/>
        <v>89</v>
      </c>
      <c r="F5">
        <f t="shared" si="16"/>
        <v>126</v>
      </c>
      <c r="G5">
        <f t="shared" si="0"/>
        <v>-37</v>
      </c>
      <c r="H5">
        <f t="shared" si="1"/>
        <v>14.66287829861518</v>
      </c>
      <c r="I5" s="11">
        <f t="shared" si="2"/>
        <v>-66.325756597230367</v>
      </c>
      <c r="J5" s="11">
        <f t="shared" si="3"/>
        <v>-7.6742434027696405</v>
      </c>
      <c r="K5">
        <v>0</v>
      </c>
      <c r="L5" s="11">
        <f t="shared" si="4"/>
        <v>-58.651513194460726</v>
      </c>
      <c r="O5">
        <f t="shared" si="5"/>
        <v>4</v>
      </c>
      <c r="P5">
        <f t="shared" si="6"/>
        <v>-9.25</v>
      </c>
      <c r="Q5">
        <f t="shared" si="7"/>
        <v>6.25E-2</v>
      </c>
      <c r="R5">
        <f t="shared" si="8"/>
        <v>3.6657195746537949</v>
      </c>
      <c r="U5">
        <f t="shared" si="9"/>
        <v>-0.34764553721933811</v>
      </c>
      <c r="V5">
        <f t="shared" si="10"/>
        <v>0.13846466333576848</v>
      </c>
      <c r="W5">
        <f t="shared" si="11"/>
        <v>0.70634920634920639</v>
      </c>
      <c r="X5">
        <f t="shared" si="12"/>
        <v>0.53548903585869678</v>
      </c>
      <c r="Y5">
        <f t="shared" si="13"/>
        <v>0.93172626869957009</v>
      </c>
      <c r="Z5" s="12">
        <f t="shared" si="14"/>
        <v>0.29365079365079361</v>
      </c>
      <c r="AA5" s="12">
        <f t="shared" si="14"/>
        <v>0.46451096414130322</v>
      </c>
      <c r="AB5" s="12">
        <f t="shared" si="14"/>
        <v>6.8273731300429907E-2</v>
      </c>
    </row>
    <row r="6" spans="1:28" x14ac:dyDescent="0.25">
      <c r="A6" s="10">
        <v>45047</v>
      </c>
      <c r="B6">
        <v>27</v>
      </c>
      <c r="C6">
        <v>25</v>
      </c>
      <c r="E6">
        <f t="shared" si="15"/>
        <v>116</v>
      </c>
      <c r="F6">
        <f t="shared" si="16"/>
        <v>151</v>
      </c>
      <c r="G6">
        <f t="shared" si="0"/>
        <v>-35</v>
      </c>
      <c r="H6">
        <f t="shared" si="1"/>
        <v>16.340134638368191</v>
      </c>
      <c r="I6" s="11">
        <f t="shared" si="2"/>
        <v>-67.680269276736382</v>
      </c>
      <c r="J6" s="11">
        <f t="shared" si="3"/>
        <v>-2.3197307232636177</v>
      </c>
      <c r="K6">
        <v>0</v>
      </c>
      <c r="L6" s="11">
        <f t="shared" si="4"/>
        <v>-65.360538553472765</v>
      </c>
      <c r="O6">
        <f t="shared" si="5"/>
        <v>5</v>
      </c>
      <c r="P6">
        <f t="shared" si="6"/>
        <v>-7</v>
      </c>
      <c r="Q6">
        <f t="shared" si="7"/>
        <v>4.0000000000000008E-2</v>
      </c>
      <c r="R6">
        <f t="shared" si="8"/>
        <v>3.2680269276736387</v>
      </c>
      <c r="U6">
        <f t="shared" si="9"/>
        <v>-0.26368964570855963</v>
      </c>
      <c r="V6">
        <f t="shared" si="10"/>
        <v>0.12346338004227733</v>
      </c>
      <c r="W6">
        <f t="shared" si="11"/>
        <v>0.76821192052980136</v>
      </c>
      <c r="X6">
        <f t="shared" si="12"/>
        <v>0.60012554391628969</v>
      </c>
      <c r="Y6">
        <f t="shared" si="13"/>
        <v>0.98337682977614527</v>
      </c>
      <c r="Z6" s="12">
        <f t="shared" si="14"/>
        <v>0.23178807947019864</v>
      </c>
      <c r="AA6" s="12">
        <f t="shared" si="14"/>
        <v>0.39987445608371031</v>
      </c>
      <c r="AB6" s="12">
        <f t="shared" si="14"/>
        <v>1.6623170223854733E-2</v>
      </c>
    </row>
    <row r="7" spans="1:28" x14ac:dyDescent="0.25">
      <c r="A7" s="10">
        <v>45078</v>
      </c>
      <c r="B7">
        <v>19</v>
      </c>
      <c r="C7">
        <v>26</v>
      </c>
      <c r="E7">
        <f t="shared" si="15"/>
        <v>135</v>
      </c>
      <c r="F7">
        <f t="shared" si="16"/>
        <v>177</v>
      </c>
      <c r="G7">
        <f t="shared" si="0"/>
        <v>-42</v>
      </c>
      <c r="H7">
        <f t="shared" si="1"/>
        <v>17.663521732655695</v>
      </c>
      <c r="I7" s="11">
        <f t="shared" si="2"/>
        <v>-77.327043465311391</v>
      </c>
      <c r="J7" s="11">
        <f t="shared" si="3"/>
        <v>-6.6729565346886091</v>
      </c>
      <c r="K7">
        <v>0</v>
      </c>
      <c r="L7" s="11">
        <f t="shared" si="4"/>
        <v>-70.654086930622782</v>
      </c>
      <c r="O7">
        <f t="shared" si="5"/>
        <v>6</v>
      </c>
      <c r="P7">
        <f t="shared" si="6"/>
        <v>-7</v>
      </c>
      <c r="Q7">
        <f t="shared" si="7"/>
        <v>2.7777777777777776E-2</v>
      </c>
      <c r="R7">
        <f t="shared" si="8"/>
        <v>2.9439202887759488</v>
      </c>
      <c r="U7">
        <f t="shared" si="9"/>
        <v>-0.27087495413539975</v>
      </c>
      <c r="V7">
        <f t="shared" si="10"/>
        <v>0.11426777726696052</v>
      </c>
      <c r="W7">
        <f t="shared" si="11"/>
        <v>0.76271186440677963</v>
      </c>
      <c r="X7">
        <f t="shared" si="12"/>
        <v>0.60688830968374685</v>
      </c>
      <c r="Y7">
        <f t="shared" si="13"/>
        <v>0.95854439577194761</v>
      </c>
      <c r="Z7" s="12">
        <f t="shared" si="14"/>
        <v>0.23728813559322037</v>
      </c>
      <c r="AA7" s="12">
        <f t="shared" si="14"/>
        <v>0.39311169031625315</v>
      </c>
      <c r="AB7" s="12">
        <f t="shared" si="14"/>
        <v>4.145560422805239E-2</v>
      </c>
    </row>
    <row r="8" spans="1:28" x14ac:dyDescent="0.25">
      <c r="A8" s="10">
        <v>45108</v>
      </c>
      <c r="B8">
        <v>24</v>
      </c>
      <c r="C8">
        <v>29</v>
      </c>
      <c r="E8">
        <f t="shared" si="15"/>
        <v>159</v>
      </c>
      <c r="F8">
        <f t="shared" si="16"/>
        <v>206</v>
      </c>
      <c r="G8">
        <f t="shared" si="0"/>
        <v>-47</v>
      </c>
      <c r="H8">
        <f t="shared" si="1"/>
        <v>19.104973174542799</v>
      </c>
      <c r="I8" s="11">
        <f t="shared" si="2"/>
        <v>-85.209946349085598</v>
      </c>
      <c r="J8" s="11">
        <f t="shared" si="3"/>
        <v>-8.7900536509144018</v>
      </c>
      <c r="K8">
        <v>0</v>
      </c>
      <c r="L8" s="11">
        <f t="shared" si="4"/>
        <v>-76.419892698171196</v>
      </c>
      <c r="O8">
        <f t="shared" si="5"/>
        <v>7</v>
      </c>
      <c r="P8">
        <f t="shared" si="6"/>
        <v>-6.7142857142857144</v>
      </c>
      <c r="Q8">
        <f t="shared" si="7"/>
        <v>2.0408163265306121E-2</v>
      </c>
      <c r="R8">
        <f t="shared" si="8"/>
        <v>2.7292818820775429</v>
      </c>
      <c r="U8">
        <f t="shared" si="9"/>
        <v>-0.25897196656934957</v>
      </c>
      <c r="V8">
        <f t="shared" si="10"/>
        <v>0.10556361640328292</v>
      </c>
      <c r="W8">
        <f t="shared" si="11"/>
        <v>0.77184466019417475</v>
      </c>
      <c r="X8">
        <f t="shared" si="12"/>
        <v>0.62494027152281229</v>
      </c>
      <c r="Y8">
        <f t="shared" si="13"/>
        <v>0.9532817880636687</v>
      </c>
      <c r="Z8" s="12">
        <f t="shared" si="14"/>
        <v>0.22815533980582525</v>
      </c>
      <c r="AA8" s="12">
        <f t="shared" si="14"/>
        <v>0.37505972847718771</v>
      </c>
      <c r="AB8" s="12">
        <f t="shared" si="14"/>
        <v>4.67182119363313E-2</v>
      </c>
    </row>
    <row r="9" spans="1:28" x14ac:dyDescent="0.25">
      <c r="A9" s="10">
        <v>45139</v>
      </c>
      <c r="B9">
        <v>22</v>
      </c>
      <c r="C9">
        <v>34</v>
      </c>
      <c r="E9">
        <f t="shared" si="15"/>
        <v>181</v>
      </c>
      <c r="F9">
        <f t="shared" si="16"/>
        <v>240</v>
      </c>
      <c r="G9">
        <f t="shared" si="0"/>
        <v>-59</v>
      </c>
      <c r="H9">
        <f t="shared" si="1"/>
        <v>20.518284528683193</v>
      </c>
      <c r="I9" s="11">
        <f t="shared" si="2"/>
        <v>-100.03656905736639</v>
      </c>
      <c r="J9" s="11">
        <f t="shared" si="3"/>
        <v>-17.963430942633615</v>
      </c>
      <c r="K9">
        <v>0</v>
      </c>
      <c r="L9" s="11">
        <f t="shared" si="4"/>
        <v>-82.073138114732785</v>
      </c>
      <c r="O9">
        <f t="shared" si="5"/>
        <v>8</v>
      </c>
      <c r="P9">
        <f t="shared" si="6"/>
        <v>-7.375</v>
      </c>
      <c r="Q9">
        <f t="shared" si="7"/>
        <v>1.5625E-2</v>
      </c>
      <c r="R9">
        <f t="shared" si="8"/>
        <v>2.5647855660853991</v>
      </c>
      <c r="U9">
        <f t="shared" si="9"/>
        <v>-0.28214189207616558</v>
      </c>
      <c r="V9">
        <f t="shared" si="10"/>
        <v>9.8445561327668324E-2</v>
      </c>
      <c r="W9">
        <f t="shared" si="11"/>
        <v>0.75416666666666665</v>
      </c>
      <c r="X9">
        <f t="shared" si="12"/>
        <v>0.61938203562363747</v>
      </c>
      <c r="Y9">
        <f t="shared" si="13"/>
        <v>0.91828197848592119</v>
      </c>
      <c r="Z9" s="12">
        <f t="shared" si="14"/>
        <v>0.24583333333333335</v>
      </c>
      <c r="AA9" s="12">
        <f t="shared" si="14"/>
        <v>0.38061796437636253</v>
      </c>
      <c r="AB9" s="12">
        <f t="shared" si="14"/>
        <v>8.1718021514078809E-2</v>
      </c>
    </row>
    <row r="10" spans="1:28" x14ac:dyDescent="0.25">
      <c r="A10" s="10">
        <v>45170</v>
      </c>
      <c r="B10">
        <v>31</v>
      </c>
      <c r="C10">
        <v>38</v>
      </c>
      <c r="E10">
        <f t="shared" si="15"/>
        <v>212</v>
      </c>
      <c r="F10">
        <f t="shared" si="16"/>
        <v>278</v>
      </c>
      <c r="G10">
        <f t="shared" si="0"/>
        <v>-66</v>
      </c>
      <c r="H10">
        <f t="shared" si="1"/>
        <v>22.135943621178654</v>
      </c>
      <c r="I10" s="11">
        <f t="shared" si="2"/>
        <v>-110.27188724235731</v>
      </c>
      <c r="J10" s="11">
        <f t="shared" si="3"/>
        <v>-21.728112757642691</v>
      </c>
      <c r="K10">
        <v>0</v>
      </c>
      <c r="L10" s="11">
        <f t="shared" si="4"/>
        <v>-88.543774484714618</v>
      </c>
      <c r="O10">
        <f t="shared" si="5"/>
        <v>9</v>
      </c>
      <c r="P10">
        <f t="shared" si="6"/>
        <v>-7.333333333333333</v>
      </c>
      <c r="Q10">
        <f t="shared" si="7"/>
        <v>1.2345679012345678E-2</v>
      </c>
      <c r="R10">
        <f t="shared" si="8"/>
        <v>2.4595492912420727</v>
      </c>
      <c r="U10">
        <f t="shared" si="9"/>
        <v>-0.27103483901862457</v>
      </c>
      <c r="V10">
        <f t="shared" si="10"/>
        <v>9.1181705589628806E-2</v>
      </c>
      <c r="W10">
        <f t="shared" si="11"/>
        <v>0.76258992805755399</v>
      </c>
      <c r="X10">
        <f t="shared" si="12"/>
        <v>0.63546500916068016</v>
      </c>
      <c r="Y10">
        <f t="shared" si="13"/>
        <v>0.91514621574982669</v>
      </c>
      <c r="Z10" s="12">
        <f t="shared" si="14"/>
        <v>0.23741007194244601</v>
      </c>
      <c r="AA10" s="12">
        <f t="shared" si="14"/>
        <v>0.36453499083931984</v>
      </c>
      <c r="AB10" s="12">
        <f t="shared" si="14"/>
        <v>8.4853784250173314E-2</v>
      </c>
    </row>
    <row r="11" spans="1:28" x14ac:dyDescent="0.25">
      <c r="A11" s="10">
        <v>45200</v>
      </c>
      <c r="B11">
        <v>29</v>
      </c>
      <c r="C11">
        <v>29</v>
      </c>
      <c r="E11">
        <f t="shared" si="15"/>
        <v>241</v>
      </c>
      <c r="F11">
        <f t="shared" si="16"/>
        <v>307</v>
      </c>
      <c r="G11">
        <f t="shared" si="0"/>
        <v>-66</v>
      </c>
      <c r="H11">
        <f t="shared" si="1"/>
        <v>23.409399821439251</v>
      </c>
      <c r="I11" s="11">
        <f t="shared" si="2"/>
        <v>-112.8187996428785</v>
      </c>
      <c r="J11" s="11">
        <f t="shared" si="3"/>
        <v>-19.181200357121497</v>
      </c>
      <c r="K11">
        <v>0</v>
      </c>
      <c r="L11" s="11">
        <f t="shared" si="4"/>
        <v>-93.637599285757005</v>
      </c>
      <c r="O11">
        <f t="shared" si="5"/>
        <v>10</v>
      </c>
      <c r="P11">
        <f t="shared" si="6"/>
        <v>-6.6</v>
      </c>
      <c r="Q11">
        <f t="shared" si="7"/>
        <v>1.0000000000000002E-2</v>
      </c>
      <c r="R11">
        <f t="shared" si="8"/>
        <v>2.3409399821439254</v>
      </c>
      <c r="U11">
        <f t="shared" si="9"/>
        <v>-0.24205081409654214</v>
      </c>
      <c r="V11">
        <f t="shared" si="10"/>
        <v>8.6062225067616099E-2</v>
      </c>
      <c r="W11">
        <f t="shared" si="11"/>
        <v>0.78501628664495116</v>
      </c>
      <c r="X11">
        <f t="shared" si="12"/>
        <v>0.66088511159355889</v>
      </c>
      <c r="Y11">
        <f t="shared" si="13"/>
        <v>0.932462480221251</v>
      </c>
      <c r="Z11" s="12">
        <f t="shared" si="14"/>
        <v>0.21498371335504884</v>
      </c>
      <c r="AA11" s="12">
        <f t="shared" si="14"/>
        <v>0.33911488840644111</v>
      </c>
      <c r="AB11" s="12">
        <f t="shared" si="14"/>
        <v>6.7537519778749E-2</v>
      </c>
    </row>
    <row r="12" spans="1:28" x14ac:dyDescent="0.25">
      <c r="A12" s="10">
        <v>45231</v>
      </c>
      <c r="B12">
        <v>24</v>
      </c>
      <c r="C12">
        <v>31</v>
      </c>
      <c r="E12">
        <f t="shared" si="15"/>
        <v>265</v>
      </c>
      <c r="F12">
        <f t="shared" si="16"/>
        <v>338</v>
      </c>
      <c r="G12">
        <f t="shared" si="0"/>
        <v>-73</v>
      </c>
      <c r="H12">
        <f t="shared" si="1"/>
        <v>24.556058315617349</v>
      </c>
      <c r="I12" s="11">
        <f t="shared" si="2"/>
        <v>-122.1121166312347</v>
      </c>
      <c r="J12" s="11">
        <f t="shared" si="3"/>
        <v>-23.887883368765301</v>
      </c>
      <c r="K12">
        <v>0</v>
      </c>
      <c r="L12" s="11">
        <f t="shared" si="4"/>
        <v>-98.224233262469397</v>
      </c>
      <c r="O12">
        <f t="shared" si="5"/>
        <v>11</v>
      </c>
      <c r="P12">
        <f t="shared" si="6"/>
        <v>-6.6363636363636367</v>
      </c>
      <c r="Q12">
        <f t="shared" si="7"/>
        <v>8.2644628099173556E-3</v>
      </c>
      <c r="R12">
        <f t="shared" si="8"/>
        <v>2.2323689377833955</v>
      </c>
      <c r="U12">
        <f t="shared" si="9"/>
        <v>-0.24331606949679657</v>
      </c>
      <c r="V12">
        <f t="shared" si="10"/>
        <v>8.2049770184426371E-2</v>
      </c>
      <c r="W12">
        <f t="shared" si="11"/>
        <v>0.78402366863905326</v>
      </c>
      <c r="X12">
        <f t="shared" si="12"/>
        <v>0.66536759948993618</v>
      </c>
      <c r="Y12">
        <f t="shared" si="13"/>
        <v>0.92383986454624079</v>
      </c>
      <c r="Z12" s="12">
        <f t="shared" si="14"/>
        <v>0.21597633136094674</v>
      </c>
      <c r="AA12" s="12">
        <f t="shared" si="14"/>
        <v>0.33463240051006382</v>
      </c>
      <c r="AB12" s="12">
        <f t="shared" si="14"/>
        <v>7.6160135453759215E-2</v>
      </c>
    </row>
    <row r="13" spans="1:28" x14ac:dyDescent="0.25">
      <c r="A13" s="10">
        <v>45261</v>
      </c>
      <c r="B13">
        <v>30</v>
      </c>
      <c r="C13">
        <v>29</v>
      </c>
      <c r="E13">
        <f t="shared" si="15"/>
        <v>295</v>
      </c>
      <c r="F13">
        <f t="shared" si="16"/>
        <v>367</v>
      </c>
      <c r="G13">
        <f t="shared" si="0"/>
        <v>-72</v>
      </c>
      <c r="H13">
        <f t="shared" si="1"/>
        <v>25.729360660537214</v>
      </c>
      <c r="I13" s="11">
        <f t="shared" si="2"/>
        <v>-123.45872132107442</v>
      </c>
      <c r="J13" s="11">
        <f t="shared" si="3"/>
        <v>-20.541278678925572</v>
      </c>
      <c r="K13">
        <v>0</v>
      </c>
      <c r="L13" s="11">
        <f t="shared" si="4"/>
        <v>-102.91744264214884</v>
      </c>
      <c r="O13">
        <f t="shared" si="5"/>
        <v>12</v>
      </c>
      <c r="P13">
        <f t="shared" si="6"/>
        <v>-6</v>
      </c>
      <c r="Q13">
        <f t="shared" si="7"/>
        <v>6.9444444444444441E-3</v>
      </c>
      <c r="R13">
        <f t="shared" si="8"/>
        <v>2.1441133883781012</v>
      </c>
      <c r="U13">
        <f t="shared" si="9"/>
        <v>-0.21838649171475047</v>
      </c>
      <c r="V13">
        <f t="shared" si="10"/>
        <v>7.8196075021714176E-2</v>
      </c>
      <c r="W13">
        <f t="shared" si="11"/>
        <v>0.80381471389645776</v>
      </c>
      <c r="X13">
        <f t="shared" si="12"/>
        <v>0.68744143277699599</v>
      </c>
      <c r="Y13">
        <f t="shared" si="13"/>
        <v>0.93988820497242709</v>
      </c>
      <c r="Z13" s="12">
        <f t="shared" si="14"/>
        <v>0.19618528610354224</v>
      </c>
      <c r="AA13" s="12">
        <f t="shared" si="14"/>
        <v>0.31255856722300401</v>
      </c>
      <c r="AB13" s="12">
        <f t="shared" si="14"/>
        <v>6.0111795027572912E-2</v>
      </c>
    </row>
    <row r="14" spans="1:28" x14ac:dyDescent="0.25">
      <c r="A14" s="10">
        <v>45292</v>
      </c>
      <c r="B14">
        <v>29</v>
      </c>
      <c r="C14">
        <v>30</v>
      </c>
      <c r="E14">
        <f t="shared" si="15"/>
        <v>324</v>
      </c>
      <c r="F14">
        <f t="shared" si="16"/>
        <v>397</v>
      </c>
      <c r="G14">
        <f t="shared" si="0"/>
        <v>-73</v>
      </c>
      <c r="H14">
        <f t="shared" si="1"/>
        <v>26.851443164195103</v>
      </c>
      <c r="I14" s="11">
        <f t="shared" si="2"/>
        <v>-126.70288632839021</v>
      </c>
      <c r="J14" s="11">
        <f t="shared" si="3"/>
        <v>-19.297113671609793</v>
      </c>
      <c r="K14">
        <v>0</v>
      </c>
      <c r="L14" s="11">
        <f t="shared" si="4"/>
        <v>-107.40577265678041</v>
      </c>
      <c r="O14">
        <f t="shared" si="5"/>
        <v>13</v>
      </c>
      <c r="P14">
        <f t="shared" si="6"/>
        <v>-5.615384615384615</v>
      </c>
      <c r="Q14">
        <f t="shared" si="7"/>
        <v>5.9171597633136102E-3</v>
      </c>
      <c r="R14">
        <f t="shared" si="8"/>
        <v>2.0654956280150083</v>
      </c>
      <c r="U14">
        <f t="shared" si="9"/>
        <v>-0.20319276489486102</v>
      </c>
      <c r="V14">
        <f t="shared" si="10"/>
        <v>7.4868627880734201E-2</v>
      </c>
      <c r="W14">
        <f t="shared" si="11"/>
        <v>0.81612090680100757</v>
      </c>
      <c r="X14">
        <f t="shared" si="12"/>
        <v>0.70262636098845055</v>
      </c>
      <c r="Y14">
        <f t="shared" si="13"/>
        <v>0.94794811509875476</v>
      </c>
      <c r="Z14" s="12">
        <f t="shared" si="14"/>
        <v>0.18387909319899243</v>
      </c>
      <c r="AA14" s="12">
        <f t="shared" si="14"/>
        <v>0.29737363901154945</v>
      </c>
      <c r="AB14" s="12">
        <f t="shared" si="14"/>
        <v>5.2051884901245238E-2</v>
      </c>
    </row>
    <row r="15" spans="1:28" x14ac:dyDescent="0.25">
      <c r="A15" s="10">
        <v>45323</v>
      </c>
      <c r="B15">
        <v>25</v>
      </c>
      <c r="C15">
        <v>23</v>
      </c>
      <c r="E15">
        <f t="shared" si="15"/>
        <v>349</v>
      </c>
      <c r="F15">
        <f t="shared" si="16"/>
        <v>420</v>
      </c>
      <c r="G15">
        <f t="shared" si="0"/>
        <v>-71</v>
      </c>
      <c r="H15">
        <f t="shared" si="1"/>
        <v>27.730849247724095</v>
      </c>
      <c r="I15" s="11">
        <f t="shared" si="2"/>
        <v>-126.46169849544819</v>
      </c>
      <c r="J15" s="11">
        <f t="shared" si="3"/>
        <v>-15.538301504551811</v>
      </c>
      <c r="K15">
        <v>0</v>
      </c>
      <c r="L15" s="11">
        <f t="shared" si="4"/>
        <v>-110.92339699089638</v>
      </c>
      <c r="O15">
        <f t="shared" si="5"/>
        <v>14</v>
      </c>
      <c r="P15">
        <f t="shared" si="6"/>
        <v>-5.0714285714285712</v>
      </c>
      <c r="Q15">
        <f t="shared" si="7"/>
        <v>5.1020408163265302E-3</v>
      </c>
      <c r="R15">
        <f t="shared" si="8"/>
        <v>1.9807749462660067</v>
      </c>
      <c r="U15">
        <f t="shared" si="9"/>
        <v>-0.18518278907498678</v>
      </c>
      <c r="V15">
        <f t="shared" si="10"/>
        <v>7.2431221816605884E-2</v>
      </c>
      <c r="W15">
        <f t="shared" si="11"/>
        <v>0.830952380952381</v>
      </c>
      <c r="X15">
        <f t="shared" si="12"/>
        <v>0.71889121529992195</v>
      </c>
      <c r="Y15">
        <f t="shared" si="13"/>
        <v>0.96048170392840504</v>
      </c>
      <c r="Z15" s="12">
        <f t="shared" si="14"/>
        <v>0.169047619047619</v>
      </c>
      <c r="AA15" s="12">
        <f t="shared" si="14"/>
        <v>0.28110878470007805</v>
      </c>
      <c r="AB15" s="12">
        <f t="shared" si="14"/>
        <v>3.951829607159496E-2</v>
      </c>
    </row>
    <row r="18" spans="2:21" x14ac:dyDescent="0.25">
      <c r="B18" t="s">
        <v>86</v>
      </c>
      <c r="F18" t="s">
        <v>87</v>
      </c>
      <c r="P18" t="s">
        <v>88</v>
      </c>
      <c r="U18" t="s">
        <v>89</v>
      </c>
    </row>
    <row r="19" spans="2:21" x14ac:dyDescent="0.25">
      <c r="U19" t="s">
        <v>90</v>
      </c>
    </row>
    <row r="20" spans="2:21" x14ac:dyDescent="0.25">
      <c r="U20" t="s">
        <v>91</v>
      </c>
    </row>
    <row r="23" spans="2:21" x14ac:dyDescent="0.25">
      <c r="J23" s="11" t="s">
        <v>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3E72-B23A-4CC1-90ED-10FBC4949284}">
  <dimension ref="A1"/>
  <sheetViews>
    <sheetView workbookViewId="0">
      <selection activeCell="T20" sqref="T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workbookViewId="0">
      <selection activeCell="D29" sqref="D29"/>
    </sheetView>
  </sheetViews>
  <sheetFormatPr defaultRowHeight="15" x14ac:dyDescent="0.25"/>
  <cols>
    <col min="1" max="1" width="12.140625" bestFit="1" customWidth="1"/>
  </cols>
  <sheetData>
    <row r="1" spans="1:12" x14ac:dyDescent="0.25">
      <c r="A1" t="s">
        <v>23</v>
      </c>
      <c r="B1" t="s">
        <v>24</v>
      </c>
      <c r="C1" t="s">
        <v>26</v>
      </c>
      <c r="D1" t="s">
        <v>27</v>
      </c>
      <c r="E1" t="s">
        <v>28</v>
      </c>
      <c r="I1" t="s">
        <v>29</v>
      </c>
      <c r="J1" t="s">
        <v>1</v>
      </c>
      <c r="K1" t="s">
        <v>26</v>
      </c>
      <c r="L1" t="s">
        <v>25</v>
      </c>
    </row>
    <row r="2" spans="1:12" x14ac:dyDescent="0.25">
      <c r="A2">
        <v>12</v>
      </c>
      <c r="B2">
        <v>200</v>
      </c>
      <c r="C2">
        <v>220</v>
      </c>
      <c r="E2">
        <v>165</v>
      </c>
      <c r="G2">
        <f>E2-15</f>
        <v>150</v>
      </c>
      <c r="I2">
        <v>1</v>
      </c>
      <c r="J2">
        <v>40</v>
      </c>
      <c r="K2">
        <v>37</v>
      </c>
      <c r="L2">
        <v>0</v>
      </c>
    </row>
    <row r="3" spans="1:12" x14ac:dyDescent="0.25">
      <c r="A3">
        <v>13</v>
      </c>
      <c r="B3">
        <v>180</v>
      </c>
      <c r="C3">
        <v>200</v>
      </c>
      <c r="E3">
        <v>205</v>
      </c>
      <c r="G3">
        <f t="shared" ref="G3:G8" si="0">E3-15</f>
        <v>190</v>
      </c>
      <c r="I3">
        <v>2</v>
      </c>
      <c r="J3">
        <v>38</v>
      </c>
      <c r="K3">
        <v>41</v>
      </c>
      <c r="L3">
        <v>0</v>
      </c>
    </row>
    <row r="4" spans="1:12" x14ac:dyDescent="0.25">
      <c r="A4">
        <v>14</v>
      </c>
      <c r="B4">
        <v>160</v>
      </c>
      <c r="C4">
        <v>180</v>
      </c>
      <c r="E4">
        <v>165</v>
      </c>
      <c r="G4">
        <f t="shared" si="0"/>
        <v>150</v>
      </c>
      <c r="I4">
        <v>3</v>
      </c>
      <c r="J4">
        <v>31</v>
      </c>
      <c r="K4">
        <v>32</v>
      </c>
      <c r="L4">
        <v>0</v>
      </c>
    </row>
    <row r="5" spans="1:12" x14ac:dyDescent="0.25">
      <c r="A5">
        <v>15</v>
      </c>
      <c r="B5">
        <v>140</v>
      </c>
      <c r="C5">
        <v>160</v>
      </c>
      <c r="E5">
        <v>205</v>
      </c>
      <c r="G5">
        <f t="shared" si="0"/>
        <v>190</v>
      </c>
      <c r="I5">
        <v>4</v>
      </c>
      <c r="J5">
        <v>36</v>
      </c>
      <c r="K5">
        <v>34</v>
      </c>
      <c r="L5">
        <v>0</v>
      </c>
    </row>
    <row r="6" spans="1:12" x14ac:dyDescent="0.25">
      <c r="A6">
        <v>16</v>
      </c>
      <c r="B6">
        <v>120</v>
      </c>
      <c r="C6">
        <v>140</v>
      </c>
      <c r="E6">
        <v>165</v>
      </c>
      <c r="G6">
        <f t="shared" si="0"/>
        <v>150</v>
      </c>
      <c r="I6">
        <v>5</v>
      </c>
      <c r="J6">
        <v>42</v>
      </c>
      <c r="K6">
        <v>25</v>
      </c>
      <c r="L6">
        <v>0</v>
      </c>
    </row>
    <row r="7" spans="1:12" x14ac:dyDescent="0.25">
      <c r="A7">
        <v>17</v>
      </c>
      <c r="B7">
        <v>100</v>
      </c>
      <c r="C7">
        <v>120</v>
      </c>
      <c r="D7">
        <v>100</v>
      </c>
      <c r="E7">
        <v>205</v>
      </c>
      <c r="G7">
        <f t="shared" si="0"/>
        <v>190</v>
      </c>
      <c r="I7">
        <v>6</v>
      </c>
      <c r="J7">
        <v>32</v>
      </c>
      <c r="K7">
        <v>37</v>
      </c>
      <c r="L7">
        <v>0</v>
      </c>
    </row>
    <row r="8" spans="1:12" x14ac:dyDescent="0.25">
      <c r="A8">
        <v>18</v>
      </c>
      <c r="B8">
        <v>80</v>
      </c>
      <c r="C8">
        <v>100</v>
      </c>
      <c r="D8">
        <v>80</v>
      </c>
      <c r="E8">
        <v>165</v>
      </c>
      <c r="G8">
        <f t="shared" si="0"/>
        <v>150</v>
      </c>
      <c r="I8">
        <v>7</v>
      </c>
      <c r="J8">
        <v>38</v>
      </c>
      <c r="K8">
        <v>34</v>
      </c>
      <c r="L8">
        <v>0</v>
      </c>
    </row>
    <row r="9" spans="1:12" x14ac:dyDescent="0.25">
      <c r="I9">
        <v>8</v>
      </c>
      <c r="J9">
        <v>36</v>
      </c>
      <c r="K9">
        <v>32</v>
      </c>
      <c r="L9">
        <v>0</v>
      </c>
    </row>
    <row r="10" spans="1:12" x14ac:dyDescent="0.25">
      <c r="I10">
        <v>9</v>
      </c>
      <c r="J10">
        <v>46</v>
      </c>
      <c r="K10">
        <v>27</v>
      </c>
      <c r="L10">
        <v>0</v>
      </c>
    </row>
    <row r="11" spans="1:12" x14ac:dyDescent="0.25">
      <c r="A11" t="s">
        <v>25</v>
      </c>
      <c r="I11">
        <v>10</v>
      </c>
      <c r="J11">
        <v>44</v>
      </c>
      <c r="K11">
        <v>25</v>
      </c>
      <c r="L11">
        <v>0</v>
      </c>
    </row>
    <row r="12" spans="1:12" x14ac:dyDescent="0.25">
      <c r="A12">
        <v>17.5</v>
      </c>
      <c r="B12">
        <v>0</v>
      </c>
      <c r="I12">
        <v>11</v>
      </c>
      <c r="J12">
        <v>43</v>
      </c>
      <c r="K12">
        <v>32</v>
      </c>
      <c r="L12">
        <v>0</v>
      </c>
    </row>
    <row r="13" spans="1:12" x14ac:dyDescent="0.25">
      <c r="A13">
        <v>17.5</v>
      </c>
      <c r="B13">
        <v>250</v>
      </c>
      <c r="I13">
        <v>12</v>
      </c>
      <c r="J13">
        <v>51</v>
      </c>
      <c r="K13">
        <v>42</v>
      </c>
      <c r="L13">
        <v>0</v>
      </c>
    </row>
    <row r="14" spans="1:12" x14ac:dyDescent="0.25">
      <c r="I14">
        <v>13</v>
      </c>
      <c r="J14">
        <v>49</v>
      </c>
      <c r="K14">
        <v>39</v>
      </c>
      <c r="L14">
        <v>0</v>
      </c>
    </row>
    <row r="15" spans="1:12" x14ac:dyDescent="0.25">
      <c r="A15" t="s">
        <v>30</v>
      </c>
      <c r="I15">
        <v>14</v>
      </c>
      <c r="J15">
        <v>45</v>
      </c>
      <c r="K15">
        <v>32</v>
      </c>
      <c r="L15">
        <v>0</v>
      </c>
    </row>
    <row r="16" spans="1:12" ht="15.75" customHeight="1" x14ac:dyDescent="0.25">
      <c r="A16" s="4" t="s">
        <v>31</v>
      </c>
      <c r="I16">
        <v>15</v>
      </c>
      <c r="J16">
        <v>38</v>
      </c>
      <c r="K16">
        <v>41</v>
      </c>
      <c r="L16">
        <v>0</v>
      </c>
    </row>
    <row r="17" spans="9:12" x14ac:dyDescent="0.25">
      <c r="I17">
        <v>16</v>
      </c>
      <c r="J17">
        <v>49</v>
      </c>
      <c r="K17">
        <v>35</v>
      </c>
      <c r="L17">
        <v>0</v>
      </c>
    </row>
    <row r="18" spans="9:12" x14ac:dyDescent="0.25">
      <c r="I18">
        <v>17</v>
      </c>
      <c r="J18">
        <v>56</v>
      </c>
      <c r="K18">
        <v>30</v>
      </c>
      <c r="L18">
        <v>0</v>
      </c>
    </row>
    <row r="19" spans="9:12" x14ac:dyDescent="0.25">
      <c r="I19">
        <v>18</v>
      </c>
      <c r="J19">
        <v>45</v>
      </c>
      <c r="K19">
        <v>28</v>
      </c>
      <c r="L19">
        <v>0</v>
      </c>
    </row>
    <row r="20" spans="9:12" x14ac:dyDescent="0.25">
      <c r="I20">
        <v>19</v>
      </c>
      <c r="J20">
        <v>40</v>
      </c>
      <c r="K20">
        <v>36</v>
      </c>
      <c r="L20">
        <v>0</v>
      </c>
    </row>
    <row r="21" spans="9:12" x14ac:dyDescent="0.25">
      <c r="I21">
        <v>20</v>
      </c>
      <c r="J21">
        <v>40</v>
      </c>
      <c r="K21">
        <v>42</v>
      </c>
      <c r="L21">
        <v>0</v>
      </c>
    </row>
    <row r="22" spans="9:12" x14ac:dyDescent="0.25">
      <c r="I22">
        <v>21</v>
      </c>
      <c r="J22">
        <v>49</v>
      </c>
      <c r="K22">
        <v>34</v>
      </c>
      <c r="L22">
        <v>0</v>
      </c>
    </row>
    <row r="23" spans="9:12" x14ac:dyDescent="0.25">
      <c r="I23">
        <v>22</v>
      </c>
      <c r="J23">
        <v>55</v>
      </c>
      <c r="K23">
        <v>37</v>
      </c>
      <c r="L23">
        <v>0</v>
      </c>
    </row>
    <row r="24" spans="9:12" x14ac:dyDescent="0.25">
      <c r="I24">
        <v>23</v>
      </c>
      <c r="J24">
        <v>60</v>
      </c>
      <c r="K24">
        <v>36</v>
      </c>
      <c r="L24">
        <v>0</v>
      </c>
    </row>
    <row r="25" spans="9:12" x14ac:dyDescent="0.25">
      <c r="I25">
        <v>24</v>
      </c>
      <c r="J25">
        <v>49</v>
      </c>
      <c r="K25">
        <v>43</v>
      </c>
      <c r="L25">
        <v>0</v>
      </c>
    </row>
    <row r="26" spans="9:12" x14ac:dyDescent="0.25">
      <c r="I26">
        <v>25</v>
      </c>
      <c r="J26">
        <v>51</v>
      </c>
      <c r="K26">
        <v>38</v>
      </c>
      <c r="L26">
        <v>0</v>
      </c>
    </row>
    <row r="27" spans="9:12" x14ac:dyDescent="0.25">
      <c r="I27">
        <v>26</v>
      </c>
      <c r="J27">
        <v>49</v>
      </c>
      <c r="K27">
        <v>44</v>
      </c>
      <c r="L27">
        <v>0</v>
      </c>
    </row>
    <row r="28" spans="9:12" x14ac:dyDescent="0.25">
      <c r="I28">
        <v>27</v>
      </c>
      <c r="J28">
        <v>50</v>
      </c>
      <c r="K28">
        <v>44</v>
      </c>
      <c r="L28">
        <v>0</v>
      </c>
    </row>
    <row r="29" spans="9:12" x14ac:dyDescent="0.25">
      <c r="I29">
        <v>28</v>
      </c>
      <c r="J29">
        <v>41</v>
      </c>
      <c r="K29">
        <v>42</v>
      </c>
      <c r="L29">
        <v>0</v>
      </c>
    </row>
    <row r="30" spans="9:12" x14ac:dyDescent="0.25">
      <c r="I30">
        <v>29</v>
      </c>
      <c r="J30">
        <v>56</v>
      </c>
      <c r="K30">
        <v>41</v>
      </c>
      <c r="L30">
        <v>0</v>
      </c>
    </row>
    <row r="31" spans="9:12" x14ac:dyDescent="0.25">
      <c r="I31">
        <v>30</v>
      </c>
      <c r="J31">
        <v>51</v>
      </c>
      <c r="K31">
        <v>44</v>
      </c>
      <c r="L31">
        <v>0</v>
      </c>
    </row>
    <row r="32" spans="9:12" x14ac:dyDescent="0.25">
      <c r="I32">
        <v>31</v>
      </c>
      <c r="J32">
        <v>40</v>
      </c>
      <c r="K32">
        <v>54</v>
      </c>
      <c r="L32">
        <v>70</v>
      </c>
    </row>
    <row r="33" spans="9:12" x14ac:dyDescent="0.25">
      <c r="I33">
        <v>32</v>
      </c>
      <c r="J33">
        <v>30</v>
      </c>
      <c r="K33">
        <v>32</v>
      </c>
      <c r="L33">
        <v>0</v>
      </c>
    </row>
    <row r="34" spans="9:12" x14ac:dyDescent="0.25">
      <c r="I34">
        <v>33</v>
      </c>
      <c r="J34">
        <v>30</v>
      </c>
      <c r="K34">
        <v>37</v>
      </c>
      <c r="L34">
        <v>0</v>
      </c>
    </row>
    <row r="35" spans="9:12" x14ac:dyDescent="0.25">
      <c r="I35">
        <v>34</v>
      </c>
      <c r="J35">
        <v>39</v>
      </c>
      <c r="K35">
        <v>38</v>
      </c>
      <c r="L35">
        <v>0</v>
      </c>
    </row>
    <row r="36" spans="9:12" x14ac:dyDescent="0.25">
      <c r="I36">
        <v>35</v>
      </c>
      <c r="J36">
        <v>25</v>
      </c>
      <c r="K36">
        <v>40</v>
      </c>
      <c r="L36">
        <v>0</v>
      </c>
    </row>
    <row r="37" spans="9:12" x14ac:dyDescent="0.25">
      <c r="I37">
        <v>36</v>
      </c>
      <c r="J37">
        <v>25</v>
      </c>
      <c r="K37">
        <v>47</v>
      </c>
      <c r="L37">
        <v>0</v>
      </c>
    </row>
    <row r="38" spans="9:12" x14ac:dyDescent="0.25">
      <c r="I38">
        <v>37</v>
      </c>
      <c r="J38">
        <v>34</v>
      </c>
      <c r="K38">
        <v>43</v>
      </c>
      <c r="L38">
        <v>0</v>
      </c>
    </row>
    <row r="39" spans="9:12" x14ac:dyDescent="0.25">
      <c r="I39">
        <v>38</v>
      </c>
      <c r="J39">
        <v>35</v>
      </c>
      <c r="K39">
        <v>51</v>
      </c>
      <c r="L39">
        <v>0</v>
      </c>
    </row>
    <row r="40" spans="9:12" x14ac:dyDescent="0.25">
      <c r="I40">
        <v>39</v>
      </c>
      <c r="J40">
        <v>30</v>
      </c>
      <c r="K40">
        <v>39</v>
      </c>
      <c r="L40">
        <v>0</v>
      </c>
    </row>
    <row r="41" spans="9:12" x14ac:dyDescent="0.25">
      <c r="I41">
        <v>40</v>
      </c>
      <c r="J41">
        <v>33</v>
      </c>
      <c r="K41">
        <v>36</v>
      </c>
      <c r="L41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373E-DA1F-4044-B49B-0539435263DF}">
  <dimension ref="B3:B7"/>
  <sheetViews>
    <sheetView workbookViewId="0">
      <selection activeCell="R14" sqref="R14"/>
    </sheetView>
  </sheetViews>
  <sheetFormatPr defaultRowHeight="15" x14ac:dyDescent="0.25"/>
  <sheetData>
    <row r="3" spans="2:2" x14ac:dyDescent="0.25">
      <c r="B3" t="s">
        <v>93</v>
      </c>
    </row>
    <row r="4" spans="2:2" x14ac:dyDescent="0.25">
      <c r="B4" s="13" t="s">
        <v>94</v>
      </c>
    </row>
    <row r="6" spans="2:2" x14ac:dyDescent="0.25">
      <c r="B6" t="s">
        <v>95</v>
      </c>
    </row>
    <row r="7" spans="2:2" x14ac:dyDescent="0.25">
      <c r="B7" s="13" t="s">
        <v>96</v>
      </c>
    </row>
  </sheetData>
  <hyperlinks>
    <hyperlink ref="B4" r:id="rId1" xr:uid="{D266BFA1-110B-431C-B83F-4FD700E588ED}"/>
    <hyperlink ref="B7" r:id="rId2" xr:uid="{72FAE081-9ED0-47DC-8E34-00D4467E2EA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WDD</vt:lpstr>
      <vt:lpstr>WDD_Temporal</vt:lpstr>
      <vt:lpstr>WDD_Area</vt:lpstr>
      <vt:lpstr>CombineWDD_HarmWeights</vt:lpstr>
      <vt:lpstr>CumulativeEffect</vt:lpstr>
      <vt:lpstr>PowerChart</vt:lpstr>
      <vt:lpstr>GraphExamples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2025-04-10T13:27:50Z</dcterms:modified>
</cp:coreProperties>
</file>